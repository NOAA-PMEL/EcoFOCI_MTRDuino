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dialogsheets/sheet1.xml" ContentType="application/vnd.openxmlformats-officedocument.spreadsheetml.dialog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-15" yWindow="240" windowWidth="20730" windowHeight="5715" tabRatio="610" activeTab="3"/>
  </bookViews>
  <sheets>
    <sheet name="SBE_Probe_Data" sheetId="101" r:id="rId1"/>
    <sheet name="MTR Data - A001" sheetId="63" r:id="rId2"/>
    <sheet name="Regression Calculation" sheetId="102" r:id="rId3"/>
    <sheet name="Temp. Calib. History" sheetId="57" r:id="rId4"/>
    <sheet name="SelectCalBox" sheetId="5" state="hidden" r:id="rId5"/>
    <sheet name="Sheet1" sheetId="105" r:id="rId6"/>
  </sheets>
  <functionGroups builtInGroupCount="17"/>
  <externalReferences>
    <externalReference r:id="rId7"/>
    <externalReference r:id="rId8"/>
  </externalReferences>
  <definedNames>
    <definedName name="A">'[1]Test 6'!$N$6</definedName>
    <definedName name="B">'[1]Test 6'!$N$7</definedName>
    <definedName name="Cal._Residual">'[2]Temp. Calib. History (2)'!$G$2</definedName>
    <definedName name="Calibration_Date">'[2]Temp. Calib. History (2)'!$E$2</definedName>
    <definedName name="Coef_C" localSheetId="2">#REF!</definedName>
    <definedName name="Coef_C" localSheetId="0">#REF!</definedName>
    <definedName name="Coef_C" localSheetId="3">#REF!</definedName>
    <definedName name="Coef_C">#REF!</definedName>
    <definedName name="Coeff_A">'[2]Temp. Calib. History (2)'!$B$2</definedName>
    <definedName name="Coeff_B">'[2]Temp. Calib. History (2)'!$C$2</definedName>
    <definedName name="Coeff_C">'[2]Temp. Calib. History (2)'!$D$2</definedName>
    <definedName name="comments">'[2]Temp. Calib. History (2)'!$F$2</definedName>
    <definedName name="MTR_SN">'[2]Temp. Calib. History (2)'!$A$2</definedName>
  </definedNames>
  <calcPr calcId="145621"/>
</workbook>
</file>

<file path=xl/calcChain.xml><?xml version="1.0" encoding="utf-8"?>
<calcChain xmlns="http://schemas.openxmlformats.org/spreadsheetml/2006/main">
  <c r="R8" i="102" l="1"/>
  <c r="R9" i="102"/>
  <c r="R10" i="102"/>
  <c r="R11" i="102"/>
  <c r="R12" i="102"/>
  <c r="R13" i="102"/>
  <c r="R14" i="102"/>
  <c r="R15" i="102"/>
  <c r="R16" i="102"/>
  <c r="R7" i="102"/>
  <c r="Q8" i="102"/>
  <c r="Q9" i="102"/>
  <c r="Q10" i="102"/>
  <c r="Q11" i="102"/>
  <c r="Q12" i="102"/>
  <c r="Q13" i="102"/>
  <c r="Q14" i="102"/>
  <c r="Q15" i="102"/>
  <c r="Q16" i="102"/>
  <c r="Q7" i="102"/>
  <c r="P16" i="102" l="1"/>
  <c r="P15" i="102"/>
  <c r="P14" i="102"/>
  <c r="P13" i="102"/>
  <c r="P12" i="102"/>
  <c r="P11" i="102"/>
  <c r="P10" i="102"/>
  <c r="P9" i="102"/>
  <c r="O16" i="102"/>
  <c r="O15" i="102"/>
  <c r="O14" i="102"/>
  <c r="O13" i="102"/>
  <c r="O12" i="102"/>
  <c r="O11" i="102"/>
  <c r="O10" i="102"/>
  <c r="O9" i="102"/>
  <c r="N16" i="102"/>
  <c r="M16" i="102"/>
  <c r="M15" i="102"/>
  <c r="M14" i="102"/>
  <c r="M13" i="102"/>
  <c r="M12" i="102"/>
  <c r="M11" i="102"/>
  <c r="N15" i="102"/>
  <c r="N14" i="102"/>
  <c r="N13" i="102"/>
  <c r="N12" i="102"/>
  <c r="N11" i="102"/>
  <c r="N10" i="102"/>
  <c r="N9" i="102"/>
  <c r="P8" i="102"/>
  <c r="O8" i="102"/>
  <c r="N8" i="102"/>
  <c r="M10" i="102"/>
  <c r="M9" i="102"/>
  <c r="M8" i="102"/>
  <c r="M7" i="102"/>
  <c r="P7" i="102"/>
  <c r="O7" i="102"/>
  <c r="N7" i="102"/>
  <c r="A1" i="105"/>
  <c r="D7" i="63"/>
  <c r="D8" i="63"/>
  <c r="D9" i="63"/>
  <c r="D10" i="63"/>
  <c r="D11" i="63"/>
  <c r="D12" i="63"/>
  <c r="D13" i="63"/>
  <c r="D14" i="63"/>
  <c r="D15" i="63"/>
  <c r="D16" i="63"/>
  <c r="D17" i="63"/>
  <c r="D18" i="63"/>
  <c r="D19" i="63"/>
  <c r="D20" i="63"/>
  <c r="D21" i="63"/>
  <c r="D22" i="63"/>
  <c r="D23" i="63"/>
  <c r="D24" i="63"/>
  <c r="D25" i="63"/>
  <c r="D26" i="63"/>
  <c r="D27" i="63"/>
  <c r="D28" i="63"/>
  <c r="D29" i="63"/>
  <c r="D30" i="63"/>
  <c r="D31" i="63"/>
  <c r="D32" i="63"/>
  <c r="D33" i="63"/>
  <c r="D34" i="63"/>
  <c r="D35" i="63"/>
  <c r="D36" i="63"/>
  <c r="D37" i="63"/>
  <c r="D38" i="63"/>
  <c r="D39" i="63"/>
  <c r="D40" i="63"/>
  <c r="D41" i="63"/>
  <c r="D42" i="63"/>
  <c r="D43" i="63"/>
  <c r="D44" i="63"/>
  <c r="D45" i="63"/>
  <c r="D46" i="63"/>
  <c r="D47" i="63"/>
  <c r="D48" i="63"/>
  <c r="D49" i="63"/>
  <c r="D50" i="63"/>
  <c r="D51" i="63"/>
  <c r="D52" i="63"/>
  <c r="D53" i="63"/>
  <c r="D54" i="63"/>
  <c r="D55" i="63"/>
  <c r="D56" i="63"/>
  <c r="D57" i="63"/>
  <c r="D58" i="63"/>
  <c r="D59" i="63"/>
  <c r="D60" i="63"/>
  <c r="D61" i="63"/>
  <c r="D62" i="63"/>
  <c r="D63" i="63"/>
  <c r="D64" i="63"/>
  <c r="D65" i="63"/>
  <c r="D66" i="63"/>
  <c r="D67" i="63"/>
  <c r="D68" i="63"/>
  <c r="D69" i="63"/>
  <c r="D70" i="63"/>
  <c r="D71" i="63"/>
  <c r="D72" i="63"/>
  <c r="D73" i="63"/>
  <c r="D74" i="63"/>
  <c r="D75" i="63"/>
  <c r="D76" i="63"/>
  <c r="D77" i="63"/>
  <c r="D78" i="63"/>
  <c r="D79" i="63"/>
  <c r="D80" i="63"/>
  <c r="D81" i="63"/>
  <c r="D82" i="63"/>
  <c r="D83" i="63"/>
  <c r="D84" i="63"/>
  <c r="D85" i="63"/>
  <c r="D86" i="63"/>
  <c r="D87" i="63"/>
  <c r="D88" i="63"/>
  <c r="D89" i="63"/>
  <c r="D90" i="63"/>
  <c r="D91" i="63"/>
  <c r="D92" i="63"/>
  <c r="D93" i="63"/>
  <c r="D94" i="63"/>
  <c r="D95" i="63"/>
  <c r="D96" i="63"/>
  <c r="D97" i="63"/>
  <c r="D98" i="63"/>
  <c r="D99" i="63"/>
  <c r="D100" i="63"/>
  <c r="D101" i="63"/>
  <c r="D102" i="63"/>
  <c r="D103" i="63"/>
  <c r="D104" i="63"/>
  <c r="D105" i="63"/>
  <c r="D106" i="63"/>
  <c r="D107" i="63"/>
  <c r="D108" i="63"/>
  <c r="D109" i="63"/>
  <c r="D110" i="63"/>
  <c r="D111" i="63"/>
  <c r="D112" i="63"/>
  <c r="D113" i="63"/>
  <c r="D114" i="63"/>
  <c r="D115" i="63"/>
  <c r="D116" i="63"/>
  <c r="D117" i="63"/>
  <c r="D118" i="63"/>
  <c r="D119" i="63"/>
  <c r="D120" i="63"/>
  <c r="D121" i="63"/>
  <c r="D122" i="63"/>
  <c r="D123" i="63"/>
  <c r="D124" i="63"/>
  <c r="D125" i="63"/>
  <c r="D126" i="63"/>
  <c r="D127" i="63"/>
  <c r="D128" i="63"/>
  <c r="D129" i="63"/>
  <c r="D130" i="63"/>
  <c r="D131" i="63"/>
  <c r="D132" i="63"/>
  <c r="D133" i="63"/>
  <c r="D134" i="63"/>
  <c r="D135" i="63"/>
  <c r="D136" i="63"/>
  <c r="D137" i="63"/>
  <c r="D138" i="63"/>
  <c r="D139" i="63"/>
  <c r="D140" i="63"/>
  <c r="D141" i="63"/>
  <c r="D142" i="63"/>
  <c r="D143" i="63"/>
  <c r="D144" i="63"/>
  <c r="D145" i="63"/>
  <c r="D146" i="63"/>
  <c r="D147" i="63"/>
  <c r="D148" i="63"/>
  <c r="D149" i="63"/>
  <c r="D150" i="63"/>
  <c r="D151" i="63"/>
  <c r="D152" i="63"/>
  <c r="D153" i="63"/>
  <c r="D154" i="63"/>
  <c r="D155" i="63"/>
  <c r="D156" i="63"/>
  <c r="D157" i="63"/>
  <c r="D158" i="63"/>
  <c r="D159" i="63"/>
  <c r="D160" i="63"/>
  <c r="D161" i="63"/>
  <c r="D162" i="63"/>
  <c r="D163" i="63"/>
  <c r="D164" i="63"/>
  <c r="D165" i="63"/>
  <c r="D166" i="63"/>
  <c r="D167" i="63"/>
  <c r="D168" i="63"/>
  <c r="D169" i="63"/>
  <c r="D170" i="63"/>
  <c r="D171" i="63"/>
  <c r="D172" i="63"/>
  <c r="D173" i="63"/>
  <c r="D174" i="63"/>
  <c r="D175" i="63"/>
  <c r="D176" i="63"/>
  <c r="D177" i="63"/>
  <c r="D178" i="63"/>
  <c r="D179" i="63"/>
  <c r="D180" i="63"/>
  <c r="D181" i="63"/>
  <c r="D182" i="63"/>
  <c r="D183" i="63"/>
  <c r="D184" i="63"/>
  <c r="D185" i="63"/>
  <c r="D186" i="63"/>
  <c r="D187" i="63"/>
  <c r="D188" i="63"/>
  <c r="D189" i="63"/>
  <c r="D190" i="63"/>
  <c r="D191" i="63"/>
  <c r="D192" i="63"/>
  <c r="D193" i="63"/>
  <c r="D194" i="63"/>
  <c r="D195" i="63"/>
  <c r="D196" i="63"/>
  <c r="D197" i="63"/>
  <c r="D198" i="63"/>
  <c r="D199" i="63"/>
  <c r="D200" i="63"/>
  <c r="D201" i="63"/>
  <c r="D202" i="63"/>
  <c r="D203" i="63"/>
  <c r="D204" i="63"/>
  <c r="D205" i="63"/>
  <c r="D206" i="63"/>
  <c r="D207" i="63"/>
  <c r="D208" i="63"/>
  <c r="D209" i="63"/>
  <c r="D210" i="63"/>
  <c r="D211" i="63"/>
  <c r="D212" i="63"/>
  <c r="D213" i="63"/>
  <c r="D214" i="63"/>
  <c r="D215" i="63"/>
  <c r="D216" i="63"/>
  <c r="D217" i="63"/>
  <c r="D218" i="63"/>
  <c r="D219" i="63"/>
  <c r="D220" i="63"/>
  <c r="D221" i="63"/>
  <c r="D222" i="63"/>
  <c r="D223" i="63"/>
  <c r="D224" i="63"/>
  <c r="D225" i="63"/>
  <c r="D226" i="63"/>
  <c r="D227" i="63"/>
  <c r="D228" i="63"/>
  <c r="D229" i="63"/>
  <c r="D230" i="63"/>
  <c r="D231" i="63"/>
  <c r="D232" i="63"/>
  <c r="D233" i="63"/>
  <c r="D234" i="63"/>
  <c r="D235" i="63"/>
  <c r="D236" i="63"/>
  <c r="D237" i="63"/>
  <c r="D238" i="63"/>
  <c r="D239" i="63"/>
  <c r="D240" i="63"/>
  <c r="D241" i="63"/>
  <c r="D242" i="63"/>
  <c r="D243" i="63"/>
  <c r="D244" i="63"/>
  <c r="D245" i="63"/>
  <c r="D246" i="63"/>
  <c r="D247" i="63"/>
  <c r="D248" i="63"/>
  <c r="D249" i="63"/>
  <c r="D250" i="63"/>
  <c r="D251" i="63"/>
  <c r="D252" i="63"/>
  <c r="D253" i="63"/>
  <c r="D254" i="63"/>
  <c r="D255" i="63"/>
  <c r="D256" i="63"/>
  <c r="D257" i="63"/>
  <c r="D258" i="63"/>
  <c r="D259" i="63"/>
  <c r="D260" i="63"/>
  <c r="D261" i="63"/>
  <c r="D262" i="63"/>
  <c r="D263" i="63"/>
  <c r="D264" i="63"/>
  <c r="D265" i="63"/>
  <c r="D266" i="63"/>
  <c r="D267" i="63"/>
  <c r="D268" i="63"/>
  <c r="D269" i="63"/>
  <c r="D270" i="63"/>
  <c r="D271" i="63"/>
  <c r="D272" i="63"/>
  <c r="D273" i="63"/>
  <c r="D274" i="63"/>
  <c r="D275" i="63"/>
  <c r="D276" i="63"/>
  <c r="D277" i="63"/>
  <c r="D278" i="63"/>
  <c r="D279" i="63"/>
  <c r="D280" i="63"/>
  <c r="D281" i="63"/>
  <c r="D282" i="63"/>
  <c r="D283" i="63"/>
  <c r="D284" i="63"/>
  <c r="D285" i="63"/>
  <c r="D286" i="63"/>
  <c r="D287" i="63"/>
  <c r="D288" i="63"/>
  <c r="D289" i="63"/>
  <c r="D290" i="63"/>
  <c r="D291" i="63"/>
  <c r="D292" i="63"/>
  <c r="D293" i="63"/>
  <c r="D294" i="63"/>
  <c r="D295" i="63"/>
  <c r="D296" i="63"/>
  <c r="D297" i="63"/>
  <c r="D298" i="63"/>
  <c r="D299" i="63"/>
  <c r="D300" i="63"/>
  <c r="D301" i="63"/>
  <c r="D302" i="63"/>
  <c r="D303" i="63"/>
  <c r="D304" i="63"/>
  <c r="D305" i="63"/>
  <c r="D306" i="63"/>
  <c r="D307" i="63"/>
  <c r="D308" i="63"/>
  <c r="D309" i="63"/>
  <c r="D310" i="63"/>
  <c r="D311" i="63"/>
  <c r="D312" i="63"/>
  <c r="D313" i="63"/>
  <c r="D314" i="63"/>
  <c r="D315" i="63"/>
  <c r="D316" i="63"/>
  <c r="D317" i="63"/>
  <c r="D318" i="63"/>
  <c r="D319" i="63"/>
  <c r="D320" i="63"/>
  <c r="D321" i="63"/>
  <c r="D322" i="63"/>
  <c r="D323" i="63"/>
  <c r="D324" i="63"/>
  <c r="D325" i="63"/>
  <c r="D326" i="63"/>
  <c r="D327" i="63"/>
  <c r="D328" i="63"/>
  <c r="D329" i="63"/>
  <c r="D330" i="63"/>
  <c r="D331" i="63"/>
  <c r="D332" i="63"/>
  <c r="D333" i="63"/>
  <c r="D334" i="63"/>
  <c r="D335" i="63"/>
  <c r="D336" i="63"/>
  <c r="D337" i="63"/>
  <c r="D338" i="63"/>
  <c r="D339" i="63"/>
  <c r="D340" i="63"/>
  <c r="D341" i="63"/>
  <c r="D342" i="63"/>
  <c r="D343" i="63"/>
  <c r="D344" i="63"/>
  <c r="D345" i="63"/>
  <c r="D346" i="63"/>
  <c r="D347" i="63"/>
  <c r="D348" i="63"/>
  <c r="D349" i="63"/>
  <c r="D350" i="63"/>
  <c r="D351" i="63"/>
  <c r="D352" i="63"/>
  <c r="D353" i="63"/>
  <c r="D354" i="63"/>
  <c r="D355" i="63"/>
  <c r="D356" i="63"/>
  <c r="D357" i="63"/>
  <c r="D358" i="63"/>
  <c r="D359" i="63"/>
  <c r="D360" i="63"/>
  <c r="D361" i="63"/>
  <c r="D362" i="63"/>
  <c r="D363" i="63"/>
  <c r="D364" i="63"/>
  <c r="D365" i="63"/>
  <c r="D366" i="63"/>
  <c r="D367" i="63"/>
  <c r="D368" i="63"/>
  <c r="D369" i="63"/>
  <c r="D370" i="63"/>
  <c r="D371" i="63"/>
  <c r="D372" i="63"/>
  <c r="D373" i="63"/>
  <c r="D374" i="63"/>
  <c r="D375" i="63"/>
  <c r="D376" i="63"/>
  <c r="D377" i="63"/>
  <c r="D378" i="63"/>
  <c r="D379" i="63"/>
  <c r="D380" i="63"/>
  <c r="D381" i="63"/>
  <c r="D382" i="63"/>
  <c r="D383" i="63"/>
  <c r="D384" i="63"/>
  <c r="D385" i="63"/>
  <c r="D386" i="63"/>
  <c r="D387" i="63"/>
  <c r="D388" i="63"/>
  <c r="D389" i="63"/>
  <c r="D390" i="63"/>
  <c r="D391" i="63"/>
  <c r="D392" i="63"/>
  <c r="D393" i="63"/>
  <c r="D394" i="63"/>
  <c r="D395" i="63"/>
  <c r="D396" i="63"/>
  <c r="D397" i="63"/>
  <c r="D398" i="63"/>
  <c r="D399" i="63"/>
  <c r="D400" i="63"/>
  <c r="D401" i="63"/>
  <c r="D402" i="63"/>
  <c r="D403" i="63"/>
  <c r="D404" i="63"/>
  <c r="D405" i="63"/>
  <c r="D406" i="63"/>
  <c r="D407" i="63"/>
  <c r="D408" i="63"/>
  <c r="D409" i="63"/>
  <c r="D410" i="63"/>
  <c r="D411" i="63"/>
  <c r="D412" i="63"/>
  <c r="D413" i="63"/>
  <c r="D414" i="63"/>
  <c r="D415" i="63"/>
  <c r="D416" i="63"/>
  <c r="D417" i="63"/>
  <c r="D418" i="63"/>
  <c r="D419" i="63"/>
  <c r="D420" i="63"/>
  <c r="D421" i="63"/>
  <c r="D422" i="63"/>
  <c r="D423" i="63"/>
  <c r="D424" i="63"/>
  <c r="D425" i="63"/>
  <c r="D426" i="63"/>
  <c r="D427" i="63"/>
  <c r="D428" i="63"/>
  <c r="D429" i="63"/>
  <c r="D430" i="63"/>
  <c r="D431" i="63"/>
  <c r="D432" i="63"/>
  <c r="D433" i="63"/>
  <c r="D434" i="63"/>
  <c r="D435" i="63"/>
  <c r="D436" i="63"/>
  <c r="D437" i="63"/>
  <c r="D438" i="63"/>
  <c r="D439" i="63"/>
  <c r="D440" i="63"/>
  <c r="D441" i="63"/>
  <c r="D442" i="63"/>
  <c r="D443" i="63"/>
  <c r="D444" i="63"/>
  <c r="D445" i="63"/>
  <c r="D446" i="63"/>
  <c r="D447" i="63"/>
  <c r="D448" i="63"/>
  <c r="D449" i="63"/>
  <c r="D450" i="63"/>
  <c r="D451" i="63"/>
  <c r="D452" i="63"/>
  <c r="D453" i="63"/>
  <c r="D454" i="63"/>
  <c r="D455" i="63"/>
  <c r="D456" i="63"/>
  <c r="D457" i="63"/>
  <c r="D458" i="63"/>
  <c r="D459" i="63"/>
  <c r="D460" i="63"/>
  <c r="D461" i="63"/>
  <c r="D462" i="63"/>
  <c r="D463" i="63"/>
  <c r="D464" i="63"/>
  <c r="D465" i="63"/>
  <c r="D466" i="63"/>
  <c r="D467" i="63"/>
  <c r="D468" i="63"/>
  <c r="D469" i="63"/>
  <c r="D470" i="63"/>
  <c r="D471" i="63"/>
  <c r="D472" i="63"/>
  <c r="D473" i="63"/>
  <c r="D474" i="63"/>
  <c r="D475" i="63"/>
  <c r="D476" i="63"/>
  <c r="D477" i="63"/>
  <c r="D478" i="63"/>
  <c r="D479" i="63"/>
  <c r="D480" i="63"/>
  <c r="D481" i="63"/>
  <c r="D482" i="63"/>
  <c r="D483" i="63"/>
  <c r="D484" i="63"/>
  <c r="D485" i="63"/>
  <c r="D486" i="63"/>
  <c r="D487" i="63"/>
  <c r="D488" i="63"/>
  <c r="D489" i="63"/>
  <c r="D490" i="63"/>
  <c r="D491" i="63"/>
  <c r="D492" i="63"/>
  <c r="D493" i="63"/>
  <c r="D494" i="63"/>
  <c r="D495" i="63"/>
  <c r="D496" i="63"/>
  <c r="D497" i="63"/>
  <c r="D498" i="63"/>
  <c r="D499" i="63"/>
  <c r="D500" i="63"/>
  <c r="D501" i="63"/>
  <c r="D502" i="63"/>
  <c r="D503" i="63"/>
  <c r="D504" i="63"/>
  <c r="D505" i="63"/>
  <c r="D506" i="63"/>
  <c r="D507" i="63"/>
  <c r="D508" i="63"/>
  <c r="D509" i="63"/>
  <c r="D510" i="63"/>
  <c r="D511" i="63"/>
  <c r="D512" i="63"/>
  <c r="D513" i="63"/>
  <c r="D514" i="63"/>
  <c r="D515" i="63"/>
  <c r="D516" i="63"/>
  <c r="D517" i="63"/>
  <c r="D518" i="63"/>
  <c r="D519" i="63"/>
  <c r="D520" i="63"/>
  <c r="D521" i="63"/>
  <c r="D522" i="63"/>
  <c r="D523" i="63"/>
  <c r="D524" i="63"/>
  <c r="D525" i="63"/>
  <c r="D526" i="63"/>
  <c r="D527" i="63"/>
  <c r="D528" i="63"/>
  <c r="D529" i="63"/>
  <c r="D530" i="63"/>
  <c r="D531" i="63"/>
  <c r="D532" i="63"/>
  <c r="D533" i="63"/>
  <c r="D534" i="63"/>
  <c r="D535" i="63"/>
  <c r="D536" i="63"/>
  <c r="D537" i="63"/>
  <c r="D538" i="63"/>
  <c r="D539" i="63"/>
  <c r="D540" i="63"/>
  <c r="D541" i="63"/>
  <c r="D542" i="63"/>
  <c r="D543" i="63"/>
  <c r="D544" i="63"/>
  <c r="D545" i="63"/>
  <c r="D546" i="63"/>
  <c r="D547" i="63"/>
  <c r="D548" i="63"/>
  <c r="D549" i="63"/>
  <c r="D550" i="63"/>
  <c r="D551" i="63"/>
  <c r="D552" i="63"/>
  <c r="D553" i="63"/>
  <c r="D554" i="63"/>
  <c r="D555" i="63"/>
  <c r="D556" i="63"/>
  <c r="D557" i="63"/>
  <c r="D558" i="63"/>
  <c r="D559" i="63"/>
  <c r="D560" i="63"/>
  <c r="D561" i="63"/>
  <c r="D562" i="63"/>
  <c r="D563" i="63"/>
  <c r="D564" i="63"/>
  <c r="D565" i="63"/>
  <c r="D566" i="63"/>
  <c r="D567" i="63"/>
  <c r="D568" i="63"/>
  <c r="D569" i="63"/>
  <c r="D570" i="63"/>
  <c r="D571" i="63"/>
  <c r="D572" i="63"/>
  <c r="D573" i="63"/>
  <c r="D574" i="63"/>
  <c r="D575" i="63"/>
  <c r="D576" i="63"/>
  <c r="D577" i="63"/>
  <c r="D578" i="63"/>
  <c r="D579" i="63"/>
  <c r="D580" i="63"/>
  <c r="D581" i="63"/>
  <c r="D582" i="63"/>
  <c r="D583" i="63"/>
  <c r="D584" i="63"/>
  <c r="D585" i="63"/>
  <c r="D586" i="63"/>
  <c r="D587" i="63"/>
  <c r="D588" i="63"/>
  <c r="D589" i="63"/>
  <c r="D590" i="63"/>
  <c r="D591" i="63"/>
  <c r="D592" i="63"/>
  <c r="D593" i="63"/>
  <c r="D594" i="63"/>
  <c r="D595" i="63"/>
  <c r="D596" i="63"/>
  <c r="D597" i="63"/>
  <c r="D598" i="63"/>
  <c r="D599" i="63"/>
  <c r="D600" i="63"/>
  <c r="D601" i="63"/>
  <c r="D602" i="63"/>
  <c r="D603" i="63"/>
  <c r="D604" i="63"/>
  <c r="D605" i="63"/>
  <c r="D606" i="63"/>
  <c r="D607" i="63"/>
  <c r="D608" i="63"/>
  <c r="D609" i="63"/>
  <c r="D610" i="63"/>
  <c r="D611" i="63"/>
  <c r="D612" i="63"/>
  <c r="D613" i="63"/>
  <c r="D614" i="63"/>
  <c r="D615" i="63"/>
  <c r="D616" i="63"/>
  <c r="D617" i="63"/>
  <c r="D618" i="63"/>
  <c r="D619" i="63"/>
  <c r="D620" i="63"/>
  <c r="D621" i="63"/>
  <c r="D622" i="63"/>
  <c r="D623" i="63"/>
  <c r="D624" i="63"/>
  <c r="D625" i="63"/>
  <c r="D626" i="63"/>
  <c r="D627" i="63"/>
  <c r="D628" i="63"/>
  <c r="D629" i="63"/>
  <c r="D630" i="63"/>
  <c r="D631" i="63"/>
  <c r="D632" i="63"/>
  <c r="D633" i="63"/>
  <c r="D634" i="63"/>
  <c r="D635" i="63"/>
  <c r="D636" i="63"/>
  <c r="D637" i="63"/>
  <c r="D638" i="63"/>
  <c r="D639" i="63"/>
  <c r="D640" i="63"/>
  <c r="D641" i="63"/>
  <c r="D642" i="63"/>
  <c r="D643" i="63"/>
  <c r="D644" i="63"/>
  <c r="D645" i="63"/>
  <c r="D646" i="63"/>
  <c r="D647" i="63"/>
  <c r="D648" i="63"/>
  <c r="D649" i="63"/>
  <c r="D650" i="63"/>
  <c r="D651" i="63"/>
  <c r="D652" i="63"/>
  <c r="D653" i="63"/>
  <c r="D654" i="63"/>
  <c r="D655" i="63"/>
  <c r="D656" i="63"/>
  <c r="D657" i="63"/>
  <c r="D658" i="63"/>
  <c r="D659" i="63"/>
  <c r="D660" i="63"/>
  <c r="D661" i="63"/>
  <c r="D662" i="63"/>
  <c r="D663" i="63"/>
  <c r="D664" i="63"/>
  <c r="D665" i="63"/>
  <c r="D666" i="63"/>
  <c r="D667" i="63"/>
  <c r="D668" i="63"/>
  <c r="D669" i="63"/>
  <c r="D670" i="63"/>
  <c r="D671" i="63"/>
  <c r="D672" i="63"/>
  <c r="D673" i="63"/>
  <c r="D674" i="63"/>
  <c r="D675" i="63"/>
  <c r="D676" i="63"/>
  <c r="D677" i="63"/>
  <c r="D678" i="63"/>
  <c r="D679" i="63"/>
  <c r="D680" i="63"/>
  <c r="D681" i="63"/>
  <c r="D682" i="63"/>
  <c r="D683" i="63"/>
  <c r="D684" i="63"/>
  <c r="D685" i="63"/>
  <c r="D686" i="63"/>
  <c r="D687" i="63"/>
  <c r="D688" i="63"/>
  <c r="D689" i="63"/>
  <c r="D690" i="63"/>
  <c r="D691" i="63"/>
  <c r="D692" i="63"/>
  <c r="D693" i="63"/>
  <c r="D694" i="63"/>
  <c r="D695" i="63"/>
  <c r="D696" i="63"/>
  <c r="D697" i="63"/>
  <c r="D698" i="63"/>
  <c r="D699" i="63"/>
  <c r="D700" i="63"/>
  <c r="D701" i="63"/>
  <c r="D702" i="63"/>
  <c r="D703" i="63"/>
  <c r="D704" i="63"/>
  <c r="D705" i="63"/>
  <c r="D706" i="63"/>
  <c r="D707" i="63"/>
  <c r="D708" i="63"/>
  <c r="D709" i="63"/>
  <c r="D710" i="63"/>
  <c r="D711" i="63"/>
  <c r="D712" i="63"/>
  <c r="D713" i="63"/>
  <c r="D714" i="63"/>
  <c r="D715" i="63"/>
  <c r="D716" i="63"/>
  <c r="D717" i="63"/>
  <c r="D718" i="63"/>
  <c r="D719" i="63"/>
  <c r="D720" i="63"/>
  <c r="D721" i="63"/>
  <c r="D722" i="63"/>
  <c r="D723" i="63"/>
  <c r="D724" i="63"/>
  <c r="D725" i="63"/>
  <c r="D726" i="63"/>
  <c r="D727" i="63"/>
  <c r="D728" i="63"/>
  <c r="D729" i="63"/>
  <c r="D730" i="63"/>
  <c r="D731" i="63"/>
  <c r="D732" i="63"/>
  <c r="D733" i="63"/>
  <c r="D734" i="63"/>
  <c r="D735" i="63"/>
  <c r="D736" i="63"/>
  <c r="D737" i="63"/>
  <c r="D738" i="63"/>
  <c r="D739" i="63"/>
  <c r="D740" i="63"/>
  <c r="D741" i="63"/>
  <c r="D742" i="63"/>
  <c r="D743" i="63"/>
  <c r="D744" i="63"/>
  <c r="D745" i="63"/>
  <c r="D746" i="63"/>
  <c r="D747" i="63"/>
  <c r="D748" i="63"/>
  <c r="D749" i="63"/>
  <c r="D750" i="63"/>
  <c r="D751" i="63"/>
  <c r="D752" i="63"/>
  <c r="D753" i="63"/>
  <c r="D754" i="63"/>
  <c r="D755" i="63"/>
  <c r="D756" i="63"/>
  <c r="D757" i="63"/>
  <c r="D758" i="63"/>
  <c r="D759" i="63"/>
  <c r="D760" i="63"/>
  <c r="D761" i="63"/>
  <c r="D762" i="63"/>
  <c r="D763" i="63"/>
  <c r="D764" i="63"/>
  <c r="D765" i="63"/>
  <c r="D766" i="63"/>
  <c r="D767" i="63"/>
  <c r="D768" i="63"/>
  <c r="D769" i="63"/>
  <c r="D770" i="63"/>
  <c r="D771" i="63"/>
  <c r="D772" i="63"/>
  <c r="D773" i="63"/>
  <c r="D774" i="63"/>
  <c r="D775" i="63"/>
  <c r="D776" i="63"/>
  <c r="D777" i="63"/>
  <c r="D778" i="63"/>
  <c r="D779" i="63"/>
  <c r="D780" i="63"/>
  <c r="D781" i="63"/>
  <c r="D782" i="63"/>
  <c r="D783" i="63"/>
  <c r="D784" i="63"/>
  <c r="D785" i="63"/>
  <c r="D786" i="63"/>
  <c r="D787" i="63"/>
  <c r="D788" i="63"/>
  <c r="D789" i="63"/>
  <c r="D790" i="63"/>
  <c r="D791" i="63"/>
  <c r="D792" i="63"/>
  <c r="D793" i="63"/>
  <c r="D794" i="63"/>
  <c r="D795" i="63"/>
  <c r="D796" i="63"/>
  <c r="D797" i="63"/>
  <c r="D798" i="63"/>
  <c r="D799" i="63"/>
  <c r="D800" i="63"/>
  <c r="D801" i="63"/>
  <c r="D802" i="63"/>
  <c r="D803" i="63"/>
  <c r="D804" i="63"/>
  <c r="D805" i="63"/>
  <c r="D806" i="63"/>
  <c r="D807" i="63"/>
  <c r="D808" i="63"/>
  <c r="D809" i="63"/>
  <c r="D810" i="63"/>
  <c r="D811" i="63"/>
  <c r="D812" i="63"/>
  <c r="D813" i="63"/>
  <c r="D814" i="63"/>
  <c r="D815" i="63"/>
  <c r="D816" i="63"/>
  <c r="D817" i="63"/>
  <c r="D818" i="63"/>
  <c r="D819" i="63"/>
  <c r="D820" i="63"/>
  <c r="D821" i="63"/>
  <c r="D822" i="63"/>
  <c r="D823" i="63"/>
  <c r="D824" i="63"/>
  <c r="D825" i="63"/>
  <c r="D826" i="63"/>
  <c r="D827" i="63"/>
  <c r="D828" i="63"/>
  <c r="D829" i="63"/>
  <c r="D830" i="63"/>
  <c r="D831" i="63"/>
  <c r="D832" i="63"/>
  <c r="D833" i="63"/>
  <c r="D834" i="63"/>
  <c r="D835" i="63"/>
  <c r="D836" i="63"/>
  <c r="D837" i="63"/>
  <c r="D838" i="63"/>
  <c r="D839" i="63"/>
  <c r="D840" i="63"/>
  <c r="D841" i="63"/>
  <c r="D842" i="63"/>
  <c r="D843" i="63"/>
  <c r="D844" i="63"/>
  <c r="D845" i="63"/>
  <c r="D846" i="63"/>
  <c r="D847" i="63"/>
  <c r="D848" i="63"/>
  <c r="D849" i="63"/>
  <c r="D850" i="63"/>
  <c r="D851" i="63"/>
  <c r="D852" i="63"/>
  <c r="D853" i="63"/>
  <c r="D854" i="63"/>
  <c r="D855" i="63"/>
  <c r="D856" i="63"/>
  <c r="D857" i="63"/>
  <c r="D858" i="63"/>
  <c r="D859" i="63"/>
  <c r="D860" i="63"/>
  <c r="D861" i="63"/>
  <c r="D862" i="63"/>
  <c r="D863" i="63"/>
  <c r="D864" i="63"/>
  <c r="D865" i="63"/>
  <c r="D866" i="63"/>
  <c r="D867" i="63"/>
  <c r="D868" i="63"/>
  <c r="D869" i="63"/>
  <c r="D870" i="63"/>
  <c r="D871" i="63"/>
  <c r="D872" i="63"/>
  <c r="D873" i="63"/>
  <c r="D874" i="63"/>
  <c r="D875" i="63"/>
  <c r="D876" i="63"/>
  <c r="D877" i="63"/>
  <c r="D878" i="63"/>
  <c r="D879" i="63"/>
  <c r="D880" i="63"/>
  <c r="D881" i="63"/>
  <c r="D882" i="63"/>
  <c r="D883" i="63"/>
  <c r="D884" i="63"/>
  <c r="D885" i="63"/>
  <c r="D886" i="63"/>
  <c r="D887" i="63"/>
  <c r="D888" i="63"/>
  <c r="D889" i="63"/>
  <c r="D890" i="63"/>
  <c r="D891" i="63"/>
  <c r="D892" i="63"/>
  <c r="D893" i="63"/>
  <c r="D894" i="63"/>
  <c r="D895" i="63"/>
  <c r="D896" i="63"/>
  <c r="D897" i="63"/>
  <c r="D898" i="63"/>
  <c r="D899" i="63"/>
  <c r="D900" i="63"/>
  <c r="D901" i="63"/>
  <c r="D902" i="63"/>
  <c r="D903" i="63"/>
  <c r="D904" i="63"/>
  <c r="D905" i="63"/>
  <c r="D906" i="63"/>
  <c r="D907" i="63"/>
  <c r="D908" i="63"/>
  <c r="D909" i="63"/>
  <c r="D910" i="63"/>
  <c r="D911" i="63"/>
  <c r="D912" i="63"/>
  <c r="D913" i="63"/>
  <c r="D914" i="63"/>
  <c r="D915" i="63"/>
  <c r="D916" i="63"/>
  <c r="D917" i="63"/>
  <c r="D918" i="63"/>
  <c r="D919" i="63"/>
  <c r="D920" i="63"/>
  <c r="D921" i="63"/>
  <c r="D922" i="63"/>
  <c r="D923" i="63"/>
  <c r="D924" i="63"/>
  <c r="D925" i="63"/>
  <c r="D926" i="63"/>
  <c r="D927" i="63"/>
  <c r="D928" i="63"/>
  <c r="D929" i="63"/>
  <c r="D930" i="63"/>
  <c r="D931" i="63"/>
  <c r="D932" i="63"/>
  <c r="D933" i="63"/>
  <c r="D934" i="63"/>
  <c r="D935" i="63"/>
  <c r="D936" i="63"/>
  <c r="D937" i="63"/>
  <c r="D938" i="63"/>
  <c r="D939" i="63"/>
  <c r="D940" i="63"/>
  <c r="D941" i="63"/>
  <c r="D942" i="63"/>
  <c r="D943" i="63"/>
  <c r="D944" i="63"/>
  <c r="D945" i="63"/>
  <c r="D946" i="63"/>
  <c r="D947" i="63"/>
  <c r="D948" i="63"/>
  <c r="D949" i="63"/>
  <c r="D950" i="63"/>
  <c r="D951" i="63"/>
  <c r="D952" i="63"/>
  <c r="D953" i="63"/>
  <c r="D954" i="63"/>
  <c r="D955" i="63"/>
  <c r="D956" i="63"/>
  <c r="D957" i="63"/>
  <c r="D958" i="63"/>
  <c r="D959" i="63"/>
  <c r="D960" i="63"/>
  <c r="D961" i="63"/>
  <c r="D962" i="63"/>
  <c r="D963" i="63"/>
  <c r="D964" i="63"/>
  <c r="D965" i="63"/>
  <c r="D966" i="63"/>
  <c r="D967" i="63"/>
  <c r="D968" i="63"/>
  <c r="D969" i="63"/>
  <c r="D970" i="63"/>
  <c r="D971" i="63"/>
  <c r="D972" i="63"/>
  <c r="D973" i="63"/>
  <c r="D974" i="63"/>
  <c r="D975" i="63"/>
  <c r="D976" i="63"/>
  <c r="D977" i="63"/>
  <c r="D978" i="63"/>
  <c r="D979" i="63"/>
  <c r="D980" i="63"/>
  <c r="D981" i="63"/>
  <c r="D982" i="63"/>
  <c r="D983" i="63"/>
  <c r="D984" i="63"/>
  <c r="D985" i="63"/>
  <c r="D986" i="63"/>
  <c r="D987" i="63"/>
  <c r="D988" i="63"/>
  <c r="D989" i="63"/>
  <c r="D990" i="63"/>
  <c r="D991" i="63"/>
  <c r="D992" i="63"/>
  <c r="D993" i="63"/>
  <c r="D994" i="63"/>
  <c r="D995" i="63"/>
  <c r="D996" i="63"/>
  <c r="D997" i="63"/>
  <c r="D998" i="63"/>
  <c r="D999" i="63"/>
  <c r="D1000" i="63"/>
  <c r="D1001" i="63"/>
  <c r="D1002" i="63"/>
  <c r="D1003" i="63"/>
  <c r="D1004" i="63"/>
  <c r="D1005" i="63"/>
  <c r="D1006" i="63"/>
  <c r="D1007" i="63"/>
  <c r="D1008" i="63"/>
  <c r="D1009" i="63"/>
  <c r="D1010" i="63"/>
  <c r="D1011" i="63"/>
  <c r="D1012" i="63"/>
  <c r="D1013" i="63"/>
  <c r="D1014" i="63"/>
  <c r="D1015" i="63"/>
  <c r="D1016" i="63"/>
  <c r="D1017" i="63"/>
  <c r="D1018" i="63"/>
  <c r="D1019" i="63"/>
  <c r="D1020" i="63"/>
  <c r="D1021" i="63"/>
  <c r="D1022" i="63"/>
  <c r="D1023" i="63"/>
  <c r="D1024" i="63"/>
  <c r="D1025" i="63"/>
  <c r="D1026" i="63"/>
  <c r="D1027" i="63"/>
  <c r="D1028" i="63"/>
  <c r="D1029" i="63"/>
  <c r="D1030" i="63"/>
  <c r="D1031" i="63"/>
  <c r="D1032" i="63"/>
  <c r="D1033" i="63"/>
  <c r="D1034" i="63"/>
  <c r="D1035" i="63"/>
  <c r="D1036" i="63"/>
  <c r="D1037" i="63"/>
  <c r="D1038" i="63"/>
  <c r="D1039" i="63"/>
  <c r="D1040" i="63"/>
  <c r="D1041" i="63"/>
  <c r="D1042" i="63"/>
  <c r="D1043" i="63"/>
  <c r="D1044" i="63"/>
  <c r="D1045" i="63"/>
  <c r="D1046" i="63"/>
  <c r="D1047" i="63"/>
  <c r="D1048" i="63"/>
  <c r="D1049" i="63"/>
  <c r="D1050" i="63"/>
  <c r="D1051" i="63"/>
  <c r="D1052" i="63"/>
  <c r="D1053" i="63"/>
  <c r="D1054" i="63"/>
  <c r="D1055" i="63"/>
  <c r="D1056" i="63"/>
  <c r="D1057" i="63"/>
  <c r="D1058" i="63"/>
  <c r="D1059" i="63"/>
  <c r="D1060" i="63"/>
  <c r="D1061" i="63"/>
  <c r="D1062" i="63"/>
  <c r="D1063" i="63"/>
  <c r="D1064" i="63"/>
  <c r="D1065" i="63"/>
  <c r="D1066" i="63"/>
  <c r="D1067" i="63"/>
  <c r="D1068" i="63"/>
  <c r="D1069" i="63"/>
  <c r="D1070" i="63"/>
  <c r="D1071" i="63"/>
  <c r="D1072" i="63"/>
  <c r="D1073" i="63"/>
  <c r="D1074" i="63"/>
  <c r="D1075" i="63"/>
  <c r="D1076" i="63"/>
  <c r="D1077" i="63"/>
  <c r="D1078" i="63"/>
  <c r="D1079" i="63"/>
  <c r="D1080" i="63"/>
  <c r="D1081" i="63"/>
  <c r="D1082" i="63"/>
  <c r="D1083" i="63"/>
  <c r="D1084" i="63"/>
  <c r="D1085" i="63"/>
  <c r="D1086" i="63"/>
  <c r="D1087" i="63"/>
  <c r="D1088" i="63"/>
  <c r="D1089" i="63"/>
  <c r="D1090" i="63"/>
  <c r="D1091" i="63"/>
  <c r="D1092" i="63"/>
  <c r="D1093" i="63"/>
  <c r="D1094" i="63"/>
  <c r="D1095" i="63"/>
  <c r="D1096" i="63"/>
  <c r="D1097" i="63"/>
  <c r="D1098" i="63"/>
  <c r="D1099" i="63"/>
  <c r="D1100" i="63"/>
  <c r="D1101" i="63"/>
  <c r="D1102" i="63"/>
  <c r="D1103" i="63"/>
  <c r="D1104" i="63"/>
  <c r="D1105" i="63"/>
  <c r="D1106" i="63"/>
  <c r="D1107" i="63"/>
  <c r="D1108" i="63"/>
  <c r="D1109" i="63"/>
  <c r="D1110" i="63"/>
  <c r="D1111" i="63"/>
  <c r="D1112" i="63"/>
  <c r="D1113" i="63"/>
  <c r="D1114" i="63"/>
  <c r="D1115" i="63"/>
  <c r="D1116" i="63"/>
  <c r="D1117" i="63"/>
  <c r="D1118" i="63"/>
  <c r="D1119" i="63"/>
  <c r="D1120" i="63"/>
  <c r="D1121" i="63"/>
  <c r="D1122" i="63"/>
  <c r="D1123" i="63"/>
  <c r="D1124" i="63"/>
  <c r="D1125" i="63"/>
  <c r="D1126" i="63"/>
  <c r="D1127" i="63"/>
  <c r="D1128" i="63"/>
  <c r="D1129" i="63"/>
  <c r="D1130" i="63"/>
  <c r="D1131" i="63"/>
  <c r="D1132" i="63"/>
  <c r="D1133" i="63"/>
  <c r="D1134" i="63"/>
  <c r="D1135" i="63"/>
  <c r="D1136" i="63"/>
  <c r="D1137" i="63"/>
  <c r="D1138" i="63"/>
  <c r="D1139" i="63"/>
  <c r="D1140" i="63"/>
  <c r="D1141" i="63"/>
  <c r="D1142" i="63"/>
  <c r="D1143" i="63"/>
  <c r="D1144" i="63"/>
  <c r="D1145" i="63"/>
  <c r="D1146" i="63"/>
  <c r="D1147" i="63"/>
  <c r="D1148" i="63"/>
  <c r="D1149" i="63"/>
  <c r="D1150" i="63"/>
  <c r="D1151" i="63"/>
  <c r="D1152" i="63"/>
  <c r="D1153" i="63"/>
  <c r="D1154" i="63"/>
  <c r="D1155" i="63"/>
  <c r="D1156" i="63"/>
  <c r="D1157" i="63"/>
  <c r="D1158" i="63"/>
  <c r="D1159" i="63"/>
  <c r="D1160" i="63"/>
  <c r="D1161" i="63"/>
  <c r="D1162" i="63"/>
  <c r="D1163" i="63"/>
  <c r="D1164" i="63"/>
  <c r="D1165" i="63"/>
  <c r="D1166" i="63"/>
  <c r="D1167" i="63"/>
  <c r="D1168" i="63"/>
  <c r="D1169" i="63"/>
  <c r="D1170" i="63"/>
  <c r="D1171" i="63"/>
  <c r="D1172" i="63"/>
  <c r="D1173" i="63"/>
  <c r="D1174" i="63"/>
  <c r="D1175" i="63"/>
  <c r="D1176" i="63"/>
  <c r="D1177" i="63"/>
  <c r="D1178" i="63"/>
  <c r="D1179" i="63"/>
  <c r="D1180" i="63"/>
  <c r="D1181" i="63"/>
  <c r="D1182" i="63"/>
  <c r="D1183" i="63"/>
  <c r="D1184" i="63"/>
  <c r="D1185" i="63"/>
  <c r="D1186" i="63"/>
  <c r="D1187" i="63"/>
  <c r="D1188" i="63"/>
  <c r="D1189" i="63"/>
  <c r="D1190" i="63"/>
  <c r="D1191" i="63"/>
  <c r="D1192" i="63"/>
  <c r="D1193" i="63"/>
  <c r="D1194" i="63"/>
  <c r="D1195" i="63"/>
  <c r="D1196" i="63"/>
  <c r="D1197" i="63"/>
  <c r="D1198" i="63"/>
  <c r="D1199" i="63"/>
  <c r="D1200" i="63"/>
  <c r="D1201" i="63"/>
  <c r="D1202" i="63"/>
  <c r="D1203" i="63"/>
  <c r="D1204" i="63"/>
  <c r="D1205" i="63"/>
  <c r="D1206" i="63"/>
  <c r="D1207" i="63"/>
  <c r="D1208" i="63"/>
  <c r="D1209" i="63"/>
  <c r="D1210" i="63"/>
  <c r="D1211" i="63"/>
  <c r="D1212" i="63"/>
  <c r="D1213" i="63"/>
  <c r="D1214" i="63"/>
  <c r="D1215" i="63"/>
  <c r="D1216" i="63"/>
  <c r="D1217" i="63"/>
  <c r="D1218" i="63"/>
  <c r="D1219" i="63"/>
  <c r="D1220" i="63"/>
  <c r="D1221" i="63"/>
  <c r="D1222" i="63"/>
  <c r="D1223" i="63"/>
  <c r="D1224" i="63"/>
  <c r="D1225" i="63"/>
  <c r="D1226" i="63"/>
  <c r="D1227" i="63"/>
  <c r="D1228" i="63"/>
  <c r="D1229" i="63"/>
  <c r="D1230" i="63"/>
  <c r="D1231" i="63"/>
  <c r="D1232" i="63"/>
  <c r="D1233" i="63"/>
  <c r="D1234" i="63"/>
  <c r="D1235" i="63"/>
  <c r="D1236" i="63"/>
  <c r="D1237" i="63"/>
  <c r="D1238" i="63"/>
  <c r="D1239" i="63"/>
  <c r="D1240" i="63"/>
  <c r="D1241" i="63"/>
  <c r="D1242" i="63"/>
  <c r="D1243" i="63"/>
  <c r="D1244" i="63"/>
  <c r="D1245" i="63"/>
  <c r="D1246" i="63"/>
  <c r="D1247" i="63"/>
  <c r="D1248" i="63"/>
  <c r="D1249" i="63"/>
  <c r="D1250" i="63"/>
  <c r="D1251" i="63"/>
  <c r="D1252" i="63"/>
  <c r="D1253" i="63"/>
  <c r="D1254" i="63"/>
  <c r="D1255" i="63"/>
  <c r="D1256" i="63"/>
  <c r="D1257" i="63"/>
  <c r="D1258" i="63"/>
  <c r="D1259" i="63"/>
  <c r="D1260" i="63"/>
  <c r="D1261" i="63"/>
  <c r="D1262" i="63"/>
  <c r="D1263" i="63"/>
  <c r="D1264" i="63"/>
  <c r="D1265" i="63"/>
  <c r="D1266" i="63"/>
  <c r="D1267" i="63"/>
  <c r="D1268" i="63"/>
  <c r="D1269" i="63"/>
  <c r="D1270" i="63"/>
  <c r="D1271" i="63"/>
  <c r="D1272" i="63"/>
  <c r="D1273" i="63"/>
  <c r="D1274" i="63"/>
  <c r="D1275" i="63"/>
  <c r="D1276" i="63"/>
  <c r="D1277" i="63"/>
  <c r="D1278" i="63"/>
  <c r="D1279" i="63"/>
  <c r="D1280" i="63"/>
  <c r="D1281" i="63"/>
  <c r="D1282" i="63"/>
  <c r="D1283" i="63"/>
  <c r="D1284" i="63"/>
  <c r="D1285" i="63"/>
  <c r="D1286" i="63"/>
  <c r="D1287" i="63"/>
  <c r="D1288" i="63"/>
  <c r="D1289" i="63"/>
  <c r="D1290" i="63"/>
  <c r="D1291" i="63"/>
  <c r="D1292" i="63"/>
  <c r="D1293" i="63"/>
  <c r="D1294" i="63"/>
  <c r="D1295" i="63"/>
  <c r="D1296" i="63"/>
  <c r="D1297" i="63"/>
  <c r="D1298" i="63"/>
  <c r="D1299" i="63"/>
  <c r="D1300" i="63"/>
  <c r="D1301" i="63"/>
  <c r="D1302" i="63"/>
  <c r="D1303" i="63"/>
  <c r="D1304" i="63"/>
  <c r="D1305" i="63"/>
  <c r="D1306" i="63"/>
  <c r="D1307" i="63"/>
  <c r="D1308" i="63"/>
  <c r="D1309" i="63"/>
  <c r="D1310" i="63"/>
  <c r="D1311" i="63"/>
  <c r="D1312" i="63"/>
  <c r="D1313" i="63"/>
  <c r="D1314" i="63"/>
  <c r="D1315" i="63"/>
  <c r="D1316" i="63"/>
  <c r="D1317" i="63"/>
  <c r="D1318" i="63"/>
  <c r="D1319" i="63"/>
  <c r="D1320" i="63"/>
  <c r="D1321" i="63"/>
  <c r="D1322" i="63"/>
  <c r="D1323" i="63"/>
  <c r="D1324" i="63"/>
  <c r="D1325" i="63"/>
  <c r="D1326" i="63"/>
  <c r="D1327" i="63"/>
  <c r="D1328" i="63"/>
  <c r="D1329" i="63"/>
  <c r="D1330" i="63"/>
  <c r="D1331" i="63"/>
  <c r="D1332" i="63"/>
  <c r="D1333" i="63"/>
  <c r="D1334" i="63"/>
  <c r="D1335" i="63"/>
  <c r="D1336" i="63"/>
  <c r="D1337" i="63"/>
  <c r="D1338" i="63"/>
  <c r="D1339" i="63"/>
  <c r="D1340" i="63"/>
  <c r="D1341" i="63"/>
  <c r="D1342" i="63"/>
  <c r="D1343" i="63"/>
  <c r="D1344" i="63"/>
  <c r="D1345" i="63"/>
  <c r="D1346" i="63"/>
  <c r="D1347" i="63"/>
  <c r="D1348" i="63"/>
  <c r="D1349" i="63"/>
  <c r="D1350" i="63"/>
  <c r="D1351" i="63"/>
  <c r="D1352" i="63"/>
  <c r="D1353" i="63"/>
  <c r="D1354" i="63"/>
  <c r="D1355" i="63"/>
  <c r="D1356" i="63"/>
  <c r="D1357" i="63"/>
  <c r="D1358" i="63"/>
  <c r="D1359" i="63"/>
  <c r="D1360" i="63"/>
  <c r="D1361" i="63"/>
  <c r="D1362" i="63"/>
  <c r="D1363" i="63"/>
  <c r="D1364" i="63"/>
  <c r="D1365" i="63"/>
  <c r="D1366" i="63"/>
  <c r="D1367" i="63"/>
  <c r="D1368" i="63"/>
  <c r="D1369" i="63"/>
  <c r="D1370" i="63"/>
  <c r="D1371" i="63"/>
  <c r="D1372" i="63"/>
  <c r="D1373" i="63"/>
  <c r="D1374" i="63"/>
  <c r="D1375" i="63"/>
  <c r="D1376" i="63"/>
  <c r="D1377" i="63"/>
  <c r="D1378" i="63"/>
  <c r="D1379" i="63"/>
  <c r="D1380" i="63"/>
  <c r="D1381" i="63"/>
  <c r="D1382" i="63"/>
  <c r="D1383" i="63"/>
  <c r="D1384" i="63"/>
  <c r="D1385" i="63"/>
  <c r="D1386" i="63"/>
  <c r="D1387" i="63"/>
  <c r="D1388" i="63"/>
  <c r="D1389" i="63"/>
  <c r="D1390" i="63"/>
  <c r="D1391" i="63"/>
  <c r="D1392" i="63"/>
  <c r="D1393" i="63"/>
  <c r="D1394" i="63"/>
  <c r="D1395" i="63"/>
  <c r="D1396" i="63"/>
  <c r="D1397" i="63"/>
  <c r="D1398" i="63"/>
  <c r="D1399" i="63"/>
  <c r="D1400" i="63"/>
  <c r="D1401" i="63"/>
  <c r="D1402" i="63"/>
  <c r="D1403" i="63"/>
  <c r="D1404" i="63"/>
  <c r="D1405" i="63"/>
  <c r="D1406" i="63"/>
  <c r="D1407" i="63"/>
  <c r="D1408" i="63"/>
  <c r="D1409" i="63"/>
  <c r="D1410" i="63"/>
  <c r="D1411" i="63"/>
  <c r="D1412" i="63"/>
  <c r="D1413" i="63"/>
  <c r="D1414" i="63"/>
  <c r="D1415" i="63"/>
  <c r="D1416" i="63"/>
  <c r="D1417" i="63"/>
  <c r="D1418" i="63"/>
  <c r="D1419" i="63"/>
  <c r="D1420" i="63"/>
  <c r="D1421" i="63"/>
  <c r="D1422" i="63"/>
  <c r="D1423" i="63"/>
  <c r="D1424" i="63"/>
  <c r="D1425" i="63"/>
  <c r="D1426" i="63"/>
  <c r="D1427" i="63"/>
  <c r="D1428" i="63"/>
  <c r="D1429" i="63"/>
  <c r="D1430" i="63"/>
  <c r="D1431" i="63"/>
  <c r="D1432" i="63"/>
  <c r="D1433" i="63"/>
  <c r="D1434" i="63"/>
  <c r="D1435" i="63"/>
  <c r="D1436" i="63"/>
  <c r="D1437" i="63"/>
  <c r="D1438" i="63"/>
  <c r="D1439" i="63"/>
  <c r="D1440" i="63"/>
  <c r="D1441" i="63"/>
  <c r="D1442" i="63"/>
  <c r="D1443" i="63"/>
  <c r="D1444" i="63"/>
  <c r="D1445" i="63"/>
  <c r="D1446" i="63"/>
  <c r="D1447" i="63"/>
  <c r="D1448" i="63"/>
  <c r="D1449" i="63"/>
  <c r="D1450" i="63"/>
  <c r="D1451" i="63"/>
  <c r="D1452" i="63"/>
  <c r="D1453" i="63"/>
  <c r="D1454" i="63"/>
  <c r="D1455" i="63"/>
  <c r="D1456" i="63"/>
  <c r="D1457" i="63"/>
  <c r="D1458" i="63"/>
  <c r="D1459" i="63"/>
  <c r="D1460" i="63"/>
  <c r="D1461" i="63"/>
  <c r="D1462" i="63"/>
  <c r="D1463" i="63"/>
  <c r="D1464" i="63"/>
  <c r="D1465" i="63"/>
  <c r="D1466" i="63"/>
  <c r="D1467" i="63"/>
  <c r="D1468" i="63"/>
  <c r="D1469" i="63"/>
  <c r="D1470" i="63"/>
  <c r="D1471" i="63"/>
  <c r="D1472" i="63"/>
  <c r="D1473" i="63"/>
  <c r="D1474" i="63"/>
  <c r="D1475" i="63"/>
  <c r="D1476" i="63"/>
  <c r="D1477" i="63"/>
  <c r="D1478" i="63"/>
  <c r="D1479" i="63"/>
  <c r="D1480" i="63"/>
  <c r="D1481" i="63"/>
  <c r="D1482" i="63"/>
  <c r="D1483" i="63"/>
  <c r="D1484" i="63"/>
  <c r="D1485" i="63"/>
  <c r="D1486" i="63"/>
  <c r="D1487" i="63"/>
  <c r="D1488" i="63"/>
  <c r="D1489" i="63"/>
  <c r="D1490" i="63"/>
  <c r="D1491" i="63"/>
  <c r="D1492" i="63"/>
  <c r="D1493" i="63"/>
  <c r="D1494" i="63"/>
  <c r="D1495" i="63"/>
  <c r="D1496" i="63"/>
  <c r="D1497" i="63"/>
  <c r="D1498" i="63"/>
  <c r="D1499" i="63"/>
  <c r="D1500" i="63"/>
  <c r="D1501" i="63"/>
  <c r="D1502" i="63"/>
  <c r="D1503" i="63"/>
  <c r="D1504" i="63"/>
  <c r="D1505" i="63"/>
  <c r="D1506" i="63"/>
  <c r="D1507" i="63"/>
  <c r="D1508" i="63"/>
  <c r="D1509" i="63"/>
  <c r="D1510" i="63"/>
  <c r="D1511" i="63"/>
  <c r="D1512" i="63"/>
  <c r="D1513" i="63"/>
  <c r="D1514" i="63"/>
  <c r="D1515" i="63"/>
  <c r="D1516" i="63"/>
  <c r="D1517" i="63"/>
  <c r="D1518" i="63"/>
  <c r="D1519" i="63"/>
  <c r="D1520" i="63"/>
  <c r="D1521" i="63"/>
  <c r="D1522" i="63"/>
  <c r="D1523" i="63"/>
  <c r="D1524" i="63"/>
  <c r="D1525" i="63"/>
  <c r="D1526" i="63"/>
  <c r="D1527" i="63"/>
  <c r="D1528" i="63"/>
  <c r="D1529" i="63"/>
  <c r="D1530" i="63"/>
  <c r="D1531" i="63"/>
  <c r="D1532" i="63"/>
  <c r="D1533" i="63"/>
  <c r="D1534" i="63"/>
  <c r="D1535" i="63"/>
  <c r="D1536" i="63"/>
  <c r="D1537" i="63"/>
  <c r="D1538" i="63"/>
  <c r="D1539" i="63"/>
  <c r="D1540" i="63"/>
  <c r="D1541" i="63"/>
  <c r="D1542" i="63"/>
  <c r="D1543" i="63"/>
  <c r="D1544" i="63"/>
  <c r="D1545" i="63"/>
  <c r="D1546" i="63"/>
  <c r="D1547" i="63"/>
  <c r="D1548" i="63"/>
  <c r="D1549" i="63"/>
  <c r="D1550" i="63"/>
  <c r="D1551" i="63"/>
  <c r="D1552" i="63"/>
  <c r="D1553" i="63"/>
  <c r="D1554" i="63"/>
  <c r="D1555" i="63"/>
  <c r="D1556" i="63"/>
  <c r="D1557" i="63"/>
  <c r="D1558" i="63"/>
  <c r="D1559" i="63"/>
  <c r="D1560" i="63"/>
  <c r="D1561" i="63"/>
  <c r="D1562" i="63"/>
  <c r="D1563" i="63"/>
  <c r="D1564" i="63"/>
  <c r="D1565" i="63"/>
  <c r="D1566" i="63"/>
  <c r="D1567" i="63"/>
  <c r="D1568" i="63"/>
  <c r="D1569" i="63"/>
  <c r="D1570" i="63"/>
  <c r="D1571" i="63"/>
  <c r="D1572" i="63"/>
  <c r="D1573" i="63"/>
  <c r="D1574" i="63"/>
  <c r="D1575" i="63"/>
  <c r="D1576" i="63"/>
  <c r="D1577" i="63"/>
  <c r="D1578" i="63"/>
  <c r="D1579" i="63"/>
  <c r="D1580" i="63"/>
  <c r="D1581" i="63"/>
  <c r="D1582" i="63"/>
  <c r="D1583" i="63"/>
  <c r="D1584" i="63"/>
  <c r="D1585" i="63"/>
  <c r="D1586" i="63"/>
  <c r="D1587" i="63"/>
  <c r="D1588" i="63"/>
  <c r="D1589" i="63"/>
  <c r="D1590" i="63"/>
  <c r="D1591" i="63"/>
  <c r="D1592" i="63"/>
  <c r="D1593" i="63"/>
  <c r="D1594" i="63"/>
  <c r="D1595" i="63"/>
  <c r="D1596" i="63"/>
  <c r="D1597" i="63"/>
  <c r="D1598" i="63"/>
  <c r="D1599" i="63"/>
  <c r="D1600" i="63"/>
  <c r="D1601" i="63"/>
  <c r="D1602" i="63"/>
  <c r="D1603" i="63"/>
  <c r="D1604" i="63"/>
  <c r="D1605" i="63"/>
  <c r="D1606" i="63"/>
  <c r="D1607" i="63"/>
  <c r="D1608" i="63"/>
  <c r="D1609" i="63"/>
  <c r="D1610" i="63"/>
  <c r="D1611" i="63"/>
  <c r="D1612" i="63"/>
  <c r="D1613" i="63"/>
  <c r="D1614" i="63"/>
  <c r="D1615" i="63"/>
  <c r="D1616" i="63"/>
  <c r="D1617" i="63"/>
  <c r="D1618" i="63"/>
  <c r="D1619" i="63"/>
  <c r="D1620" i="63"/>
  <c r="D1621" i="63"/>
  <c r="D1622" i="63"/>
  <c r="D1623" i="63"/>
  <c r="D1624" i="63"/>
  <c r="D1625" i="63"/>
  <c r="D1626" i="63"/>
  <c r="D1627" i="63"/>
  <c r="D1628" i="63"/>
  <c r="D1629" i="63"/>
  <c r="D1630" i="63"/>
  <c r="D1631" i="63"/>
  <c r="D1632" i="63"/>
  <c r="D1633" i="63"/>
  <c r="D1634" i="63"/>
  <c r="D1635" i="63"/>
  <c r="D1636" i="63"/>
  <c r="D1637" i="63"/>
  <c r="D1638" i="63"/>
  <c r="D1639" i="63"/>
  <c r="D1640" i="63"/>
  <c r="D1641" i="63"/>
  <c r="D1642" i="63"/>
  <c r="D1643" i="63"/>
  <c r="D1644" i="63"/>
  <c r="D1645" i="63"/>
  <c r="D1646" i="63"/>
  <c r="D1647" i="63"/>
  <c r="D1648" i="63"/>
  <c r="D1649" i="63"/>
  <c r="D1650" i="63"/>
  <c r="D1651" i="63"/>
  <c r="D1652" i="63"/>
  <c r="D1653" i="63"/>
  <c r="D1654" i="63"/>
  <c r="D1655" i="63"/>
  <c r="D1656" i="63"/>
  <c r="D1657" i="63"/>
  <c r="D1658" i="63"/>
  <c r="D1659" i="63"/>
  <c r="D1660" i="63"/>
  <c r="D1661" i="63"/>
  <c r="D1662" i="63"/>
  <c r="D1663" i="63"/>
  <c r="D1664" i="63"/>
  <c r="D1665" i="63"/>
  <c r="D1666" i="63"/>
  <c r="D1667" i="63"/>
  <c r="D1668" i="63"/>
  <c r="D1669" i="63"/>
  <c r="D1670" i="63"/>
  <c r="D1671" i="63"/>
  <c r="D1672" i="63"/>
  <c r="D1673" i="63"/>
  <c r="D1674" i="63"/>
  <c r="D1675" i="63"/>
  <c r="D1676" i="63"/>
  <c r="D1677" i="63"/>
  <c r="D1678" i="63"/>
  <c r="D1679" i="63"/>
  <c r="D1680" i="63"/>
  <c r="D1681" i="63"/>
  <c r="D1682" i="63"/>
  <c r="D1683" i="63"/>
  <c r="D1684" i="63"/>
  <c r="D1685" i="63"/>
  <c r="D1686" i="63"/>
  <c r="D1687" i="63"/>
  <c r="D1688" i="63"/>
  <c r="D1689" i="63"/>
  <c r="D1690" i="63"/>
  <c r="D1691" i="63"/>
  <c r="D1692" i="63"/>
  <c r="D1693" i="63"/>
  <c r="D1694" i="63"/>
  <c r="D1695" i="63"/>
  <c r="D1696" i="63"/>
  <c r="D1697" i="63"/>
  <c r="D1698" i="63"/>
  <c r="D1699" i="63"/>
  <c r="D1700" i="63"/>
  <c r="D1701" i="63"/>
  <c r="D1702" i="63"/>
  <c r="D1703" i="63"/>
  <c r="D1704" i="63"/>
  <c r="D1705" i="63"/>
  <c r="D1706" i="63"/>
  <c r="D1707" i="63"/>
  <c r="D1708" i="63"/>
  <c r="D1709" i="63"/>
  <c r="D1710" i="63"/>
  <c r="D1711" i="63"/>
  <c r="D1712" i="63"/>
  <c r="D1713" i="63"/>
  <c r="D1714" i="63"/>
  <c r="D1715" i="63"/>
  <c r="D1716" i="63"/>
  <c r="D1717" i="63"/>
  <c r="D1718" i="63"/>
  <c r="D1719" i="63"/>
  <c r="D1720" i="63"/>
  <c r="D1721" i="63"/>
  <c r="D1722" i="63"/>
  <c r="D1723" i="63"/>
  <c r="D1724" i="63"/>
  <c r="D1725" i="63"/>
  <c r="D1726" i="63"/>
  <c r="D1727" i="63"/>
  <c r="D1728" i="63"/>
  <c r="D1729" i="63"/>
  <c r="D1730" i="63"/>
  <c r="D1731" i="63"/>
  <c r="D1732" i="63"/>
  <c r="D1733" i="63"/>
  <c r="D1734" i="63"/>
  <c r="D1735" i="63"/>
  <c r="D1736" i="63"/>
  <c r="D1737" i="63"/>
  <c r="D1738" i="63"/>
  <c r="D1739" i="63"/>
  <c r="D1740" i="63"/>
  <c r="D1741" i="63"/>
  <c r="D1742" i="63"/>
  <c r="D1743" i="63"/>
  <c r="D1744" i="63"/>
  <c r="D1745" i="63"/>
  <c r="D1746" i="63"/>
  <c r="D1747" i="63"/>
  <c r="D1748" i="63"/>
  <c r="D1749" i="63"/>
  <c r="D1750" i="63"/>
  <c r="D1751" i="63"/>
  <c r="D1752" i="63"/>
  <c r="D1753" i="63"/>
  <c r="D1754" i="63"/>
  <c r="D1755" i="63"/>
  <c r="D1756" i="63"/>
  <c r="D1757" i="63"/>
  <c r="D1758" i="63"/>
  <c r="D1759" i="63"/>
  <c r="D1760" i="63"/>
  <c r="D1761" i="63"/>
  <c r="D1762" i="63"/>
  <c r="D1763" i="63"/>
  <c r="D1764" i="63"/>
  <c r="D1765" i="63"/>
  <c r="D1766" i="63"/>
  <c r="D1767" i="63"/>
  <c r="D1768" i="63"/>
  <c r="D1769" i="63"/>
  <c r="D1770" i="63"/>
  <c r="D1771" i="63"/>
  <c r="D1772" i="63"/>
  <c r="D1773" i="63"/>
  <c r="D1774" i="63"/>
  <c r="D1775" i="63"/>
  <c r="D1776" i="63"/>
  <c r="D1777" i="63"/>
  <c r="D1778" i="63"/>
  <c r="D1779" i="63"/>
  <c r="D1780" i="63"/>
  <c r="D1781" i="63"/>
  <c r="D1782" i="63"/>
  <c r="D1783" i="63"/>
  <c r="D1784" i="63"/>
  <c r="D1785" i="63"/>
  <c r="D1786" i="63"/>
  <c r="D1787" i="63"/>
  <c r="D1788" i="63"/>
  <c r="D1789" i="63"/>
  <c r="D1790" i="63"/>
  <c r="D1791" i="63"/>
  <c r="D1792" i="63"/>
  <c r="D1793" i="63"/>
  <c r="D1794" i="63"/>
  <c r="D1795" i="63"/>
  <c r="D1796" i="63"/>
  <c r="D1797" i="63"/>
  <c r="D1798" i="63"/>
  <c r="D1799" i="63"/>
  <c r="D1800" i="63"/>
  <c r="D1801" i="63"/>
  <c r="D1802" i="63"/>
  <c r="D1803" i="63"/>
  <c r="D1804" i="63"/>
  <c r="D1805" i="63"/>
  <c r="D1806" i="63"/>
  <c r="D1807" i="63"/>
  <c r="D1808" i="63"/>
  <c r="D1809" i="63"/>
  <c r="D1810" i="63"/>
  <c r="D1811" i="63"/>
  <c r="D1812" i="63"/>
  <c r="D1813" i="63"/>
  <c r="D1814" i="63"/>
  <c r="D1815" i="63"/>
  <c r="D1816" i="63"/>
  <c r="D1817" i="63"/>
  <c r="D1818" i="63"/>
  <c r="D1819" i="63"/>
  <c r="D1820" i="63"/>
  <c r="D1821" i="63"/>
  <c r="D1822" i="63"/>
  <c r="D1823" i="63"/>
  <c r="D1824" i="63"/>
  <c r="D1825" i="63"/>
  <c r="D1826" i="63"/>
  <c r="D1827" i="63"/>
  <c r="D1828" i="63"/>
  <c r="D1829" i="63"/>
  <c r="D1830" i="63"/>
  <c r="D1831" i="63"/>
  <c r="D1832" i="63"/>
  <c r="D1833" i="63"/>
  <c r="D1834" i="63"/>
  <c r="D1835" i="63"/>
  <c r="D1836" i="63"/>
  <c r="D1837" i="63"/>
  <c r="D1838" i="63"/>
  <c r="D1839" i="63"/>
  <c r="D1840" i="63"/>
  <c r="D1841" i="63"/>
  <c r="D1842" i="63"/>
  <c r="D1843" i="63"/>
  <c r="D1844" i="63"/>
  <c r="D1845" i="63"/>
  <c r="D1846" i="63"/>
  <c r="D1847" i="63"/>
  <c r="D1848" i="63"/>
  <c r="D1849" i="63"/>
  <c r="D1850" i="63"/>
  <c r="D1851" i="63"/>
  <c r="D1852" i="63"/>
  <c r="D1853" i="63"/>
  <c r="D1854" i="63"/>
  <c r="D1855" i="63"/>
  <c r="D1856" i="63"/>
  <c r="D1857" i="63"/>
  <c r="D1858" i="63"/>
  <c r="D1859" i="63"/>
  <c r="D1860" i="63"/>
  <c r="D1861" i="63"/>
  <c r="D1862" i="63"/>
  <c r="D1863" i="63"/>
  <c r="D1864" i="63"/>
  <c r="D1865" i="63"/>
  <c r="D1866" i="63"/>
  <c r="D1867" i="63"/>
  <c r="D1868" i="63"/>
  <c r="D1869" i="63"/>
  <c r="D1870" i="63"/>
  <c r="D1871" i="63"/>
  <c r="D1872" i="63"/>
  <c r="D1873" i="63"/>
  <c r="D1874" i="63"/>
  <c r="D1875" i="63"/>
  <c r="D1876" i="63"/>
  <c r="D1877" i="63"/>
  <c r="D1878" i="63"/>
  <c r="D1879" i="63"/>
  <c r="D1880" i="63"/>
  <c r="D1881" i="63"/>
  <c r="D1882" i="63"/>
  <c r="D1883" i="63"/>
  <c r="D1884" i="63"/>
  <c r="D1885" i="63"/>
  <c r="D1886" i="63"/>
  <c r="D1887" i="63"/>
  <c r="D1888" i="63"/>
  <c r="D1889" i="63"/>
  <c r="D1890" i="63"/>
  <c r="D1891" i="63"/>
  <c r="D1892" i="63"/>
  <c r="D1893" i="63"/>
  <c r="D1894" i="63"/>
  <c r="D1895" i="63"/>
  <c r="D1896" i="63"/>
  <c r="D1897" i="63"/>
  <c r="D1898" i="63"/>
  <c r="D1899" i="63"/>
  <c r="D1900" i="63"/>
  <c r="D1901" i="63"/>
  <c r="D1902" i="63"/>
  <c r="D1903" i="63"/>
  <c r="D1904" i="63"/>
  <c r="D1905" i="63"/>
  <c r="D1906" i="63"/>
  <c r="D1907" i="63"/>
  <c r="D1908" i="63"/>
  <c r="D1909" i="63"/>
  <c r="D1910" i="63"/>
  <c r="D1911" i="63"/>
  <c r="D1912" i="63"/>
  <c r="D1913" i="63"/>
  <c r="D1914" i="63"/>
  <c r="D1915" i="63"/>
  <c r="D1916" i="63"/>
  <c r="D1917" i="63"/>
  <c r="D1918" i="63"/>
  <c r="D1919" i="63"/>
  <c r="D1920" i="63"/>
  <c r="D1921" i="63"/>
  <c r="D1922" i="63"/>
  <c r="D1923" i="63"/>
  <c r="D1924" i="63"/>
  <c r="D1925" i="63"/>
  <c r="D1926" i="63"/>
  <c r="D1927" i="63"/>
  <c r="D1928" i="63"/>
  <c r="D1929" i="63"/>
  <c r="D1930" i="63"/>
  <c r="D1931" i="63"/>
  <c r="D1932" i="63"/>
  <c r="D1933" i="63"/>
  <c r="D1934" i="63"/>
  <c r="D1935" i="63"/>
  <c r="D1936" i="63"/>
  <c r="D1937" i="63"/>
  <c r="D1938" i="63"/>
  <c r="D1939" i="63"/>
  <c r="D1940" i="63"/>
  <c r="D1941" i="63"/>
  <c r="D1942" i="63"/>
  <c r="D1943" i="63"/>
  <c r="D1944" i="63"/>
  <c r="D1945" i="63"/>
  <c r="D1946" i="63"/>
  <c r="D1947" i="63"/>
  <c r="D1948" i="63"/>
  <c r="D1949" i="63"/>
  <c r="D1950" i="63"/>
  <c r="D1951" i="63"/>
  <c r="D1952" i="63"/>
  <c r="D1953" i="63"/>
  <c r="D1954" i="63"/>
  <c r="D1955" i="63"/>
  <c r="D1956" i="63"/>
  <c r="D1957" i="63"/>
  <c r="D1958" i="63"/>
  <c r="D1959" i="63"/>
  <c r="D1960" i="63"/>
  <c r="D1961" i="63"/>
  <c r="D1962" i="63"/>
  <c r="D1963" i="63"/>
  <c r="D1964" i="63"/>
  <c r="D1965" i="63"/>
  <c r="D1966" i="63"/>
  <c r="D1967" i="63"/>
  <c r="D1968" i="63"/>
  <c r="D1969" i="63"/>
  <c r="D1970" i="63"/>
  <c r="D1971" i="63"/>
  <c r="D1972" i="63"/>
  <c r="D1973" i="63"/>
  <c r="D1974" i="63"/>
  <c r="D1975" i="63"/>
  <c r="D1976" i="63"/>
  <c r="D1977" i="63"/>
  <c r="D1978" i="63"/>
  <c r="D1979" i="63"/>
  <c r="D1980" i="63"/>
  <c r="D1981" i="63"/>
  <c r="D1982" i="63"/>
  <c r="D1983" i="63"/>
  <c r="D1984" i="63"/>
  <c r="D1985" i="63"/>
  <c r="D1986" i="63"/>
  <c r="D1987" i="63"/>
  <c r="D1988" i="63"/>
  <c r="D1989" i="63"/>
  <c r="D1990" i="63"/>
  <c r="D1991" i="63"/>
  <c r="D1992" i="63"/>
  <c r="D1993" i="63"/>
  <c r="D1994" i="63"/>
  <c r="D1995" i="63"/>
  <c r="D1996" i="63"/>
  <c r="D1997" i="63"/>
  <c r="D1998" i="63"/>
  <c r="D1999" i="63"/>
  <c r="D2000" i="63"/>
  <c r="D2001" i="63"/>
  <c r="D2002" i="63"/>
  <c r="D2003" i="63"/>
  <c r="D2004" i="63"/>
  <c r="D2005" i="63"/>
  <c r="D2006" i="63"/>
  <c r="D2007" i="63"/>
  <c r="D2008" i="63"/>
  <c r="D2009" i="63"/>
  <c r="D2010" i="63"/>
  <c r="D2011" i="63"/>
  <c r="D2012" i="63"/>
  <c r="D2013" i="63"/>
  <c r="D2014" i="63"/>
  <c r="D2015" i="63"/>
  <c r="D2016" i="63"/>
  <c r="D2017" i="63"/>
  <c r="D2018" i="63"/>
  <c r="D2019" i="63"/>
  <c r="D2020" i="63"/>
  <c r="D2021" i="63"/>
  <c r="D2022" i="63"/>
  <c r="D2023" i="63"/>
  <c r="D2024" i="63"/>
  <c r="D2025" i="63"/>
  <c r="D2026" i="63"/>
  <c r="D2027" i="63"/>
  <c r="D2028" i="63"/>
  <c r="D2029" i="63"/>
  <c r="D2030" i="63"/>
  <c r="D2031" i="63"/>
  <c r="D2032" i="63"/>
  <c r="D2033" i="63"/>
  <c r="D2034" i="63"/>
  <c r="D2035" i="63"/>
  <c r="D2036" i="63"/>
  <c r="D2037" i="63"/>
  <c r="D2038" i="63"/>
  <c r="D2039" i="63"/>
  <c r="D2040" i="63"/>
  <c r="D2041" i="63"/>
  <c r="D2042" i="63"/>
  <c r="D2043" i="63"/>
  <c r="D2044" i="63"/>
  <c r="D2045" i="63"/>
  <c r="D2046" i="63"/>
  <c r="D2047" i="63"/>
  <c r="D2048" i="63"/>
  <c r="D2049" i="63"/>
  <c r="D2050" i="63"/>
  <c r="D2051" i="63"/>
  <c r="D2052" i="63"/>
  <c r="D2053" i="63"/>
  <c r="D2054" i="63"/>
  <c r="D2055" i="63"/>
  <c r="D2056" i="63"/>
  <c r="D2057" i="63"/>
  <c r="D2058" i="63"/>
  <c r="D2059" i="63"/>
  <c r="D2060" i="63"/>
  <c r="D2061" i="63"/>
  <c r="D2062" i="63"/>
  <c r="D2063" i="63"/>
  <c r="D2064" i="63"/>
  <c r="D2065" i="63"/>
  <c r="D2066" i="63"/>
  <c r="D2067" i="63"/>
  <c r="D2068" i="63"/>
  <c r="D2069" i="63"/>
  <c r="D2070" i="63"/>
  <c r="D2071" i="63"/>
  <c r="D2072" i="63"/>
  <c r="D2073" i="63"/>
  <c r="D2074" i="63"/>
  <c r="D2075" i="63"/>
  <c r="D2076" i="63"/>
  <c r="D2077" i="63"/>
  <c r="D2078" i="63"/>
  <c r="D2079" i="63"/>
  <c r="D2080" i="63"/>
  <c r="D2081" i="63"/>
  <c r="D2082" i="63"/>
  <c r="D2083" i="63"/>
  <c r="D2084" i="63"/>
  <c r="D2085" i="63"/>
  <c r="D2086" i="63"/>
  <c r="D2087" i="63"/>
  <c r="D2088" i="63"/>
  <c r="D2089" i="63"/>
  <c r="D2090" i="63"/>
  <c r="D2091" i="63"/>
  <c r="D2092" i="63"/>
  <c r="D2093" i="63"/>
  <c r="D2094" i="63"/>
  <c r="D2095" i="63"/>
  <c r="D2096" i="63"/>
  <c r="D2097" i="63"/>
  <c r="D2098" i="63"/>
  <c r="D2099" i="63"/>
  <c r="D2100" i="63"/>
  <c r="D2101" i="63"/>
  <c r="D2102" i="63"/>
  <c r="D2103" i="63"/>
  <c r="D2104" i="63"/>
  <c r="D2105" i="63"/>
  <c r="D2106" i="63"/>
  <c r="D2107" i="63"/>
  <c r="D2108" i="63"/>
  <c r="D2109" i="63"/>
  <c r="D2110" i="63"/>
  <c r="D2111" i="63"/>
  <c r="D2112" i="63"/>
  <c r="D2113" i="63"/>
  <c r="D2114" i="63"/>
  <c r="D2115" i="63"/>
  <c r="D2116" i="63"/>
  <c r="D2117" i="63"/>
  <c r="D2118" i="63"/>
  <c r="D2119" i="63"/>
  <c r="D2120" i="63"/>
  <c r="D2121" i="63"/>
  <c r="D2122" i="63"/>
  <c r="D2123" i="63"/>
  <c r="D2124" i="63"/>
  <c r="D2125" i="63"/>
  <c r="D2126" i="63"/>
  <c r="D2127" i="63"/>
  <c r="D2128" i="63"/>
  <c r="D2129" i="63"/>
  <c r="D2130" i="63"/>
  <c r="D2131" i="63"/>
  <c r="D2132" i="63"/>
  <c r="D2133" i="63"/>
  <c r="D2134" i="63"/>
  <c r="D2135" i="63"/>
  <c r="D2136" i="63"/>
  <c r="D2137" i="63"/>
  <c r="D2138" i="63"/>
  <c r="D2139" i="63"/>
  <c r="D2140" i="63"/>
  <c r="D2141" i="63"/>
  <c r="D2142" i="63"/>
  <c r="D2143" i="63"/>
  <c r="D2144" i="63"/>
  <c r="D2145" i="63"/>
  <c r="D2146" i="63"/>
  <c r="D2147" i="63"/>
  <c r="D2148" i="63"/>
  <c r="D2149" i="63"/>
  <c r="D2150" i="63"/>
  <c r="D2151" i="63"/>
  <c r="D2152" i="63"/>
  <c r="D2153" i="63"/>
  <c r="D2154" i="63"/>
  <c r="D2155" i="63"/>
  <c r="D2156" i="63"/>
  <c r="D2157" i="63"/>
  <c r="D2158" i="63"/>
  <c r="D2159" i="63"/>
  <c r="D2160" i="63"/>
  <c r="D2161" i="63"/>
  <c r="D2162" i="63"/>
  <c r="D2163" i="63"/>
  <c r="D2164" i="63"/>
  <c r="D2165" i="63"/>
  <c r="D2166" i="63"/>
  <c r="D2167" i="63"/>
  <c r="D2168" i="63"/>
  <c r="D2169" i="63"/>
  <c r="D2170" i="63"/>
  <c r="D2171" i="63"/>
  <c r="D2172" i="63"/>
  <c r="D2173" i="63"/>
  <c r="D2174" i="63"/>
  <c r="D2175" i="63"/>
  <c r="D2176" i="63"/>
  <c r="D2177" i="63"/>
  <c r="D2178" i="63"/>
  <c r="D2179" i="63"/>
  <c r="D2180" i="63"/>
  <c r="D2181" i="63"/>
  <c r="D2182" i="63"/>
  <c r="D2183" i="63"/>
  <c r="D2184" i="63"/>
  <c r="D2185" i="63"/>
  <c r="D2186" i="63"/>
  <c r="D2187" i="63"/>
  <c r="D2188" i="63"/>
  <c r="D2189" i="63"/>
  <c r="D2190" i="63"/>
  <c r="D2191" i="63"/>
  <c r="D2192" i="63"/>
  <c r="D2193" i="63"/>
  <c r="D2194" i="63"/>
  <c r="D2195" i="63"/>
  <c r="D2196" i="63"/>
  <c r="D2197" i="63"/>
  <c r="D2198" i="63"/>
  <c r="D2199" i="63"/>
  <c r="D2200" i="63"/>
  <c r="D2201" i="63"/>
  <c r="D2202" i="63"/>
  <c r="D2203" i="63"/>
  <c r="D2204" i="63"/>
  <c r="D2205" i="63"/>
  <c r="D2206" i="63"/>
  <c r="D2207" i="63"/>
  <c r="D2208" i="63"/>
  <c r="D2209" i="63"/>
  <c r="D2210" i="63"/>
  <c r="D2211" i="63"/>
  <c r="D2212" i="63"/>
  <c r="D2213" i="63"/>
  <c r="D2214" i="63"/>
  <c r="D2215" i="63"/>
  <c r="D2216" i="63"/>
  <c r="D2217" i="63"/>
  <c r="D2218" i="63"/>
  <c r="D2219" i="63"/>
  <c r="D2220" i="63"/>
  <c r="D2221" i="63"/>
  <c r="D2222" i="63"/>
  <c r="D2223" i="63"/>
  <c r="D2224" i="63"/>
  <c r="D2225" i="63"/>
  <c r="D2226" i="63"/>
  <c r="D2227" i="63"/>
  <c r="D2228" i="63"/>
  <c r="D2229" i="63"/>
  <c r="D2230" i="63"/>
  <c r="D2231" i="63"/>
  <c r="D2232" i="63"/>
  <c r="D2233" i="63"/>
  <c r="D2234" i="63"/>
  <c r="D2235" i="63"/>
  <c r="D2236" i="63"/>
  <c r="D2237" i="63"/>
  <c r="D2238" i="63"/>
  <c r="D2239" i="63"/>
  <c r="D2240" i="63"/>
  <c r="D2241" i="63"/>
  <c r="D2242" i="63"/>
  <c r="D2243" i="63"/>
  <c r="D2244" i="63"/>
  <c r="D2245" i="63"/>
  <c r="D2246" i="63"/>
  <c r="D2247" i="63"/>
  <c r="D2248" i="63"/>
  <c r="D2249" i="63"/>
  <c r="D2250" i="63"/>
  <c r="D2251" i="63"/>
  <c r="D2252" i="63"/>
  <c r="D2253" i="63"/>
  <c r="D2254" i="63"/>
  <c r="D2255" i="63"/>
  <c r="D2256" i="63"/>
  <c r="D2257" i="63"/>
  <c r="D2258" i="63"/>
  <c r="D2259" i="63"/>
  <c r="D2260" i="63"/>
  <c r="D2261" i="63"/>
  <c r="D2262" i="63"/>
  <c r="D2263" i="63"/>
  <c r="D2264" i="63"/>
  <c r="D2265" i="63"/>
  <c r="D2266" i="63"/>
  <c r="D2267" i="63"/>
  <c r="D2268" i="63"/>
  <c r="D2269" i="63"/>
  <c r="D2270" i="63"/>
  <c r="D2271" i="63"/>
  <c r="D2272" i="63"/>
  <c r="D2273" i="63"/>
  <c r="D2274" i="63"/>
  <c r="D2275" i="63"/>
  <c r="D2276" i="63"/>
  <c r="D2277" i="63"/>
  <c r="D2278" i="63"/>
  <c r="D2279" i="63"/>
  <c r="D2280" i="63"/>
  <c r="D2281" i="63"/>
  <c r="D2282" i="63"/>
  <c r="D2283" i="63"/>
  <c r="D2284" i="63"/>
  <c r="D2285" i="63"/>
  <c r="D2286" i="63"/>
  <c r="D2287" i="63"/>
  <c r="D2288" i="63"/>
  <c r="D2289" i="63"/>
  <c r="D2290" i="63"/>
  <c r="D2291" i="63"/>
  <c r="D2292" i="63"/>
  <c r="D2293" i="63"/>
  <c r="D2294" i="63"/>
  <c r="D2295" i="63"/>
  <c r="D2296" i="63"/>
  <c r="D2297" i="63"/>
  <c r="D2298" i="63"/>
  <c r="D2299" i="63"/>
  <c r="D2300" i="63"/>
  <c r="D2301" i="63"/>
  <c r="D2302" i="63"/>
  <c r="D2303" i="63"/>
  <c r="D2304" i="63"/>
  <c r="D2305" i="63"/>
  <c r="D2306" i="63"/>
  <c r="D2307" i="63"/>
  <c r="D2308" i="63"/>
  <c r="D2309" i="63"/>
  <c r="D2310" i="63"/>
  <c r="D2311" i="63"/>
  <c r="D2312" i="63"/>
  <c r="D2313" i="63"/>
  <c r="D2314" i="63"/>
  <c r="D2315" i="63"/>
  <c r="D2316" i="63"/>
  <c r="D2317" i="63"/>
  <c r="D2318" i="63"/>
  <c r="D2319" i="63"/>
  <c r="D2320" i="63"/>
  <c r="D2321" i="63"/>
  <c r="D2322" i="63"/>
  <c r="D2323" i="63"/>
  <c r="D2324" i="63"/>
  <c r="D2325" i="63"/>
  <c r="D2326" i="63"/>
  <c r="D2327" i="63"/>
  <c r="D2328" i="63"/>
  <c r="D2329" i="63"/>
  <c r="D2330" i="63"/>
  <c r="D2331" i="63"/>
  <c r="D2332" i="63"/>
  <c r="D2333" i="63"/>
  <c r="D2334" i="63"/>
  <c r="D2335" i="63"/>
  <c r="D2336" i="63"/>
  <c r="D2337" i="63"/>
  <c r="D2338" i="63"/>
  <c r="D2339" i="63"/>
  <c r="D2340" i="63"/>
  <c r="D2341" i="63"/>
  <c r="D2342" i="63"/>
  <c r="D2343" i="63"/>
  <c r="D2344" i="63"/>
  <c r="D2345" i="63"/>
  <c r="D2346" i="63"/>
  <c r="D2347" i="63"/>
  <c r="D2348" i="63"/>
  <c r="D2349" i="63"/>
  <c r="D2350" i="63"/>
  <c r="D2351" i="63"/>
  <c r="D2352" i="63"/>
  <c r="D2353" i="63"/>
  <c r="D2354" i="63"/>
  <c r="D2355" i="63"/>
  <c r="D2356" i="63"/>
  <c r="D2357" i="63"/>
  <c r="D2358" i="63"/>
  <c r="D2359" i="63"/>
  <c r="D2360" i="63"/>
  <c r="D2361" i="63"/>
  <c r="D2362" i="63"/>
  <c r="D2363" i="63"/>
  <c r="D2364" i="63"/>
  <c r="D2365" i="63"/>
  <c r="D2366" i="63"/>
  <c r="D2367" i="63"/>
  <c r="D2368" i="63"/>
  <c r="D2369" i="63"/>
  <c r="D2370" i="63"/>
  <c r="D2371" i="63"/>
  <c r="D2372" i="63"/>
  <c r="D2373" i="63"/>
  <c r="D2374" i="63"/>
  <c r="D2375" i="63"/>
  <c r="D2376" i="63"/>
  <c r="D2377" i="63"/>
  <c r="D2378" i="63"/>
  <c r="D2379" i="63"/>
  <c r="D2380" i="63"/>
  <c r="D2381" i="63"/>
  <c r="D2382" i="63"/>
  <c r="D2383" i="63"/>
  <c r="D2384" i="63"/>
  <c r="D2385" i="63"/>
  <c r="D2386" i="63"/>
  <c r="D2387" i="63"/>
  <c r="D2388" i="63"/>
  <c r="D2389" i="63"/>
  <c r="D2390" i="63"/>
  <c r="D2391" i="63"/>
  <c r="D2392" i="63"/>
  <c r="D2393" i="63"/>
  <c r="D2394" i="63"/>
  <c r="D2395" i="63"/>
  <c r="D2396" i="63"/>
  <c r="D2397" i="63"/>
  <c r="D2398" i="63"/>
  <c r="D2399" i="63"/>
  <c r="D2400" i="63"/>
  <c r="D2401" i="63"/>
  <c r="D2402" i="63"/>
  <c r="D2403" i="63"/>
  <c r="D2404" i="63"/>
  <c r="D2405" i="63"/>
  <c r="D2406" i="63"/>
  <c r="D2407" i="63"/>
  <c r="D2408" i="63"/>
  <c r="D2409" i="63"/>
  <c r="D2410" i="63"/>
  <c r="D2411" i="63"/>
  <c r="D2412" i="63"/>
  <c r="D2413" i="63"/>
  <c r="D2414" i="63"/>
  <c r="D2415" i="63"/>
  <c r="D2416" i="63"/>
  <c r="D2417" i="63"/>
  <c r="D2418" i="63"/>
  <c r="D2419" i="63"/>
  <c r="D2420" i="63"/>
  <c r="D2421" i="63"/>
  <c r="D2422" i="63"/>
  <c r="D2423" i="63"/>
  <c r="D2424" i="63"/>
  <c r="D2425" i="63"/>
  <c r="D2426" i="63"/>
  <c r="D2427" i="63"/>
  <c r="D2428" i="63"/>
  <c r="D2429" i="63"/>
  <c r="D2430" i="63"/>
  <c r="D2431" i="63"/>
  <c r="D2432" i="63"/>
  <c r="D2433" i="63"/>
  <c r="D2434" i="63"/>
  <c r="D2435" i="63"/>
  <c r="D2436" i="63"/>
  <c r="D2437" i="63"/>
  <c r="D2438" i="63"/>
  <c r="D2439" i="63"/>
  <c r="D2440" i="63"/>
  <c r="D2441" i="63"/>
  <c r="D2442" i="63"/>
  <c r="D2443" i="63"/>
  <c r="D2444" i="63"/>
  <c r="D2445" i="63"/>
  <c r="D2446" i="63"/>
  <c r="D2447" i="63"/>
  <c r="D2448" i="63"/>
  <c r="D2449" i="63"/>
  <c r="D2450" i="63"/>
  <c r="D2451" i="63"/>
  <c r="D2452" i="63"/>
  <c r="D2453" i="63"/>
  <c r="D2454" i="63"/>
  <c r="D2455" i="63"/>
  <c r="D2456" i="63"/>
  <c r="D2457" i="63"/>
  <c r="D2458" i="63"/>
  <c r="D2459" i="63"/>
  <c r="D2460" i="63"/>
  <c r="D2461" i="63"/>
  <c r="D2462" i="63"/>
  <c r="D2463" i="63"/>
  <c r="D2464" i="63"/>
  <c r="D2465" i="63"/>
  <c r="D2466" i="63"/>
  <c r="D2467" i="63"/>
  <c r="D2468" i="63"/>
  <c r="D2469" i="63"/>
  <c r="D2470" i="63"/>
  <c r="D2471" i="63"/>
  <c r="D2472" i="63"/>
  <c r="D2473" i="63"/>
  <c r="D2474" i="63"/>
  <c r="D2475" i="63"/>
  <c r="D2476" i="63"/>
  <c r="D2477" i="63"/>
  <c r="D2478" i="63"/>
  <c r="D2479" i="63"/>
  <c r="D2480" i="63"/>
  <c r="D2481" i="63"/>
  <c r="D2482" i="63"/>
  <c r="D2483" i="63"/>
  <c r="D2484" i="63"/>
  <c r="D2485" i="63"/>
  <c r="D2486" i="63"/>
  <c r="D2487" i="63"/>
  <c r="D2488" i="63"/>
  <c r="D2489" i="63"/>
  <c r="D2490" i="63"/>
  <c r="D2491" i="63"/>
  <c r="D2492" i="63"/>
  <c r="D2493" i="63"/>
  <c r="D2494" i="63"/>
  <c r="D2495" i="63"/>
  <c r="D2496" i="63"/>
  <c r="D2497" i="63"/>
  <c r="D2498" i="63"/>
  <c r="D2499" i="63"/>
  <c r="D2500" i="63"/>
  <c r="D2501" i="63"/>
  <c r="D2502" i="63"/>
  <c r="D2503" i="63"/>
  <c r="D2504" i="63"/>
  <c r="D2505" i="63"/>
  <c r="D2506" i="63"/>
  <c r="D2507" i="63"/>
  <c r="D2508" i="63"/>
  <c r="D2509" i="63"/>
  <c r="D2510" i="63"/>
  <c r="D2511" i="63"/>
  <c r="D2512" i="63"/>
  <c r="D2513" i="63"/>
  <c r="D2514" i="63"/>
  <c r="D2515" i="63"/>
  <c r="D2516" i="63"/>
  <c r="D2517" i="63"/>
  <c r="D2518" i="63"/>
  <c r="D2519" i="63"/>
  <c r="D2520" i="63"/>
  <c r="D2521" i="63"/>
  <c r="D2522" i="63"/>
  <c r="D2523" i="63"/>
  <c r="D2524" i="63"/>
  <c r="D2525" i="63"/>
  <c r="D2526" i="63"/>
  <c r="D2527" i="63"/>
  <c r="D2528" i="63"/>
  <c r="D2529" i="63"/>
  <c r="D2530" i="63"/>
  <c r="D2531" i="63"/>
  <c r="D2532" i="63"/>
  <c r="D2533" i="63"/>
  <c r="D2534" i="63"/>
  <c r="D2535" i="63"/>
  <c r="D2536" i="63"/>
  <c r="D2537" i="63"/>
  <c r="D2538" i="63"/>
  <c r="D2539" i="63"/>
  <c r="D2540" i="63"/>
  <c r="D2541" i="63"/>
  <c r="D2542" i="63"/>
  <c r="D2543" i="63"/>
  <c r="D2544" i="63"/>
  <c r="D2545" i="63"/>
  <c r="D2546" i="63"/>
  <c r="D2547" i="63"/>
  <c r="D2548" i="63"/>
  <c r="D2549" i="63"/>
  <c r="D2550" i="63"/>
  <c r="D2551" i="63"/>
  <c r="D2552" i="63"/>
  <c r="D2553" i="63"/>
  <c r="D2554" i="63"/>
  <c r="D2555" i="63"/>
  <c r="D2556" i="63"/>
  <c r="D2557" i="63"/>
  <c r="D2558" i="63"/>
  <c r="D2559" i="63"/>
  <c r="D2560" i="63"/>
  <c r="D2561" i="63"/>
  <c r="D2562" i="63"/>
  <c r="D2563" i="63"/>
  <c r="D2564" i="63"/>
  <c r="D2565" i="63"/>
  <c r="D2566" i="63"/>
  <c r="D2567" i="63"/>
  <c r="D2568" i="63"/>
  <c r="D2569" i="63"/>
  <c r="D2570" i="63"/>
  <c r="D2571" i="63"/>
  <c r="D2572" i="63"/>
  <c r="D2573" i="63"/>
  <c r="D2574" i="63"/>
  <c r="D2575" i="63"/>
  <c r="D2576" i="63"/>
  <c r="D2577" i="63"/>
  <c r="D2578" i="63"/>
  <c r="D2579" i="63"/>
  <c r="D2580" i="63"/>
  <c r="D2581" i="63"/>
  <c r="D2582" i="63"/>
  <c r="D2583" i="63"/>
  <c r="D2584" i="63"/>
  <c r="D2585" i="63"/>
  <c r="D2586" i="63"/>
  <c r="D2587" i="63"/>
  <c r="D2588" i="63"/>
  <c r="D2589" i="63"/>
  <c r="D2590" i="63"/>
  <c r="D2591" i="63"/>
  <c r="D2592" i="63"/>
  <c r="D2593" i="63"/>
  <c r="D2594" i="63"/>
  <c r="D2595" i="63"/>
  <c r="D2596" i="63"/>
  <c r="D2597" i="63"/>
  <c r="D2598" i="63"/>
  <c r="D2599" i="63"/>
  <c r="D2600" i="63"/>
  <c r="D2601" i="63"/>
  <c r="D2602" i="63"/>
  <c r="D2603" i="63"/>
  <c r="D2604" i="63"/>
  <c r="D2605" i="63"/>
  <c r="D2606" i="63"/>
  <c r="D2607" i="63"/>
  <c r="D2608" i="63"/>
  <c r="D2609" i="63"/>
  <c r="D2610" i="63"/>
  <c r="D2611" i="63"/>
  <c r="D2612" i="63"/>
  <c r="D2613" i="63"/>
  <c r="D2614" i="63"/>
  <c r="D2615" i="63"/>
  <c r="D2616" i="63"/>
  <c r="D2617" i="63"/>
  <c r="D2618" i="63"/>
  <c r="D2619" i="63"/>
  <c r="D2620" i="63"/>
  <c r="D2621" i="63"/>
  <c r="D2622" i="63"/>
  <c r="D2623" i="63"/>
  <c r="D2624" i="63"/>
  <c r="D2625" i="63"/>
  <c r="D2626" i="63"/>
  <c r="D2627" i="63"/>
  <c r="D2628" i="63"/>
  <c r="D2629" i="63"/>
  <c r="D2630" i="63"/>
  <c r="D2631" i="63"/>
  <c r="D2632" i="63"/>
  <c r="D2633" i="63"/>
  <c r="D2634" i="63"/>
  <c r="D2635" i="63"/>
  <c r="D2636" i="63"/>
  <c r="D2637" i="63"/>
  <c r="D2638" i="63"/>
  <c r="D2639" i="63"/>
  <c r="D2640" i="63"/>
  <c r="D2641" i="63"/>
  <c r="D2642" i="63"/>
  <c r="D2643" i="63"/>
  <c r="D2644" i="63"/>
  <c r="D2645" i="63"/>
  <c r="D2646" i="63"/>
  <c r="D2647" i="63"/>
  <c r="D2648" i="63"/>
  <c r="D2649" i="63"/>
  <c r="D2650" i="63"/>
  <c r="D2651" i="63"/>
  <c r="D2652" i="63"/>
  <c r="D2653" i="63"/>
  <c r="D2654" i="63"/>
  <c r="D2655" i="63"/>
  <c r="D2656" i="63"/>
  <c r="D2657" i="63"/>
  <c r="D2658" i="63"/>
  <c r="D2659" i="63"/>
  <c r="D2660" i="63"/>
  <c r="D2661" i="63"/>
  <c r="D2662" i="63"/>
  <c r="D2663" i="63"/>
  <c r="D2664" i="63"/>
  <c r="D2665" i="63"/>
  <c r="D2666" i="63"/>
  <c r="D2667" i="63"/>
  <c r="D2668" i="63"/>
  <c r="D2669" i="63"/>
  <c r="D2670" i="63"/>
  <c r="D2671" i="63"/>
  <c r="D2672" i="63"/>
  <c r="D2673" i="63"/>
  <c r="D2674" i="63"/>
  <c r="D2675" i="63"/>
  <c r="D2676" i="63"/>
  <c r="D2677" i="63"/>
  <c r="D2678" i="63"/>
  <c r="D2679" i="63"/>
  <c r="D2680" i="63"/>
  <c r="D2681" i="63"/>
  <c r="D2682" i="63"/>
  <c r="D2683" i="63"/>
  <c r="D2684" i="63"/>
  <c r="D2685" i="63"/>
  <c r="D2686" i="63"/>
  <c r="D2687" i="63"/>
  <c r="D2688" i="63"/>
  <c r="D2689" i="63"/>
  <c r="D2690" i="63"/>
  <c r="D2691" i="63"/>
  <c r="D2692" i="63"/>
  <c r="D2693" i="63"/>
  <c r="D2694" i="63"/>
  <c r="D2695" i="63"/>
  <c r="D2696" i="63"/>
  <c r="D2697" i="63"/>
  <c r="D2698" i="63"/>
  <c r="D2699" i="63"/>
  <c r="D2700" i="63"/>
  <c r="D2701" i="63"/>
  <c r="D2702" i="63"/>
  <c r="D2703" i="63"/>
  <c r="D2704" i="63"/>
  <c r="D2705" i="63"/>
  <c r="D2706" i="63"/>
  <c r="D2707" i="63"/>
  <c r="D2708" i="63"/>
  <c r="D2709" i="63"/>
  <c r="D2710" i="63"/>
  <c r="D2711" i="63"/>
  <c r="D2712" i="63"/>
  <c r="D2713" i="63"/>
  <c r="D2714" i="63"/>
  <c r="D2715" i="63"/>
  <c r="D2716" i="63"/>
  <c r="D2717" i="63"/>
  <c r="D2718" i="63"/>
  <c r="D2719" i="63"/>
  <c r="D2720" i="63"/>
  <c r="D2721" i="63"/>
  <c r="D2722" i="63"/>
  <c r="D2723" i="63"/>
  <c r="D2724" i="63"/>
  <c r="D2725" i="63"/>
  <c r="D2726" i="63"/>
  <c r="D2727" i="63"/>
  <c r="D2728" i="63"/>
  <c r="D2729" i="63"/>
  <c r="D2730" i="63"/>
  <c r="D2731" i="63"/>
  <c r="D2732" i="63"/>
  <c r="D2733" i="63"/>
  <c r="D2734" i="63"/>
  <c r="D2735" i="63"/>
  <c r="D2736" i="63"/>
  <c r="D2737" i="63"/>
  <c r="D2738" i="63"/>
  <c r="D2739" i="63"/>
  <c r="D2740" i="63"/>
  <c r="D2741" i="63"/>
  <c r="D2742" i="63"/>
  <c r="D2743" i="63"/>
  <c r="D2744" i="63"/>
  <c r="D2745" i="63"/>
  <c r="D2746" i="63"/>
  <c r="D2747" i="63"/>
  <c r="D2748" i="63"/>
  <c r="D2749" i="63"/>
  <c r="D2750" i="63"/>
  <c r="D2751" i="63"/>
  <c r="D2752" i="63"/>
  <c r="D2753" i="63"/>
  <c r="D2754" i="63"/>
  <c r="D2755" i="63"/>
  <c r="D2756" i="63"/>
  <c r="D2757" i="63"/>
  <c r="D2758" i="63"/>
  <c r="D2759" i="63"/>
  <c r="D2760" i="63"/>
  <c r="D2761" i="63"/>
  <c r="D2762" i="63"/>
  <c r="D2763" i="63"/>
  <c r="D2764" i="63"/>
  <c r="D2765" i="63"/>
  <c r="D2766" i="63"/>
  <c r="D2767" i="63"/>
  <c r="D2768" i="63"/>
  <c r="D2769" i="63"/>
  <c r="D2770" i="63"/>
  <c r="D2771" i="63"/>
  <c r="D2772" i="63"/>
  <c r="D2773" i="63"/>
  <c r="D2774" i="63"/>
  <c r="D2775" i="63"/>
  <c r="D2776" i="63"/>
  <c r="D2777" i="63"/>
  <c r="D2778" i="63"/>
  <c r="D2779" i="63"/>
  <c r="D2780" i="63"/>
  <c r="D2781" i="63"/>
  <c r="D2782" i="63"/>
  <c r="D2783" i="63"/>
  <c r="D2784" i="63"/>
  <c r="D2785" i="63"/>
  <c r="D2786" i="63"/>
  <c r="D2787" i="63"/>
  <c r="D2788" i="63"/>
  <c r="D2789" i="63"/>
  <c r="D2790" i="63"/>
  <c r="D2791" i="63"/>
  <c r="D2792" i="63"/>
  <c r="D2793" i="63"/>
  <c r="D2794" i="63"/>
  <c r="D2795" i="63"/>
  <c r="D2796" i="63"/>
  <c r="D2797" i="63"/>
  <c r="D2798" i="63"/>
  <c r="D2799" i="63"/>
  <c r="D2800" i="63"/>
  <c r="D2801" i="63"/>
  <c r="D2802" i="63"/>
  <c r="D2803" i="63"/>
  <c r="D2804" i="63"/>
  <c r="D2805" i="63"/>
  <c r="D2806" i="63"/>
  <c r="D2807" i="63"/>
  <c r="D2808" i="63"/>
  <c r="D2809" i="63"/>
  <c r="D2810" i="63"/>
  <c r="D2811" i="63"/>
  <c r="D2812" i="63"/>
  <c r="D2813" i="63"/>
  <c r="D2814" i="63"/>
  <c r="D2815" i="63"/>
  <c r="D2816" i="63"/>
  <c r="D2817" i="63"/>
  <c r="D2818" i="63"/>
  <c r="D2819" i="63"/>
  <c r="D2820" i="63"/>
  <c r="D2821" i="63"/>
  <c r="D2822" i="63"/>
  <c r="D2823" i="63"/>
  <c r="D2824" i="63"/>
  <c r="D2825" i="63"/>
  <c r="D2826" i="63"/>
  <c r="D2827" i="63"/>
  <c r="D2828" i="63"/>
  <c r="D2829" i="63"/>
  <c r="D2830" i="63"/>
  <c r="D2831" i="63"/>
  <c r="D2832" i="63"/>
  <c r="D2833" i="63"/>
  <c r="D2834" i="63"/>
  <c r="D2835" i="63"/>
  <c r="D2836" i="63"/>
  <c r="D2837" i="63"/>
  <c r="D2838" i="63"/>
  <c r="D2839" i="63"/>
  <c r="D2840" i="63"/>
  <c r="D2841" i="63"/>
  <c r="D2842" i="63"/>
  <c r="D2843" i="63"/>
  <c r="D2844" i="63"/>
  <c r="D2845" i="63"/>
  <c r="D2846" i="63"/>
  <c r="D2847" i="63"/>
  <c r="D2848" i="63"/>
  <c r="D2849" i="63"/>
  <c r="D2850" i="63"/>
  <c r="D2851" i="63"/>
  <c r="D2852" i="63"/>
  <c r="D2853" i="63"/>
  <c r="D2854" i="63"/>
  <c r="D2855" i="63"/>
  <c r="D2856" i="63"/>
  <c r="D2857" i="63"/>
  <c r="D2858" i="63"/>
  <c r="D2859" i="63"/>
  <c r="D2860" i="63"/>
  <c r="D2861" i="63"/>
  <c r="D2862" i="63"/>
  <c r="D2863" i="63"/>
  <c r="D2864" i="63"/>
  <c r="D2865" i="63"/>
  <c r="D2866" i="63"/>
  <c r="D2867" i="63"/>
  <c r="D2868" i="63"/>
  <c r="D2869" i="63"/>
  <c r="D2870" i="63"/>
  <c r="D2871" i="63"/>
  <c r="D2872" i="63"/>
  <c r="D2873" i="63"/>
  <c r="D2874" i="63"/>
  <c r="D2875" i="63"/>
  <c r="D2876" i="63"/>
  <c r="D2877" i="63"/>
  <c r="D2878" i="63"/>
  <c r="D2879" i="63"/>
  <c r="D2880" i="63"/>
  <c r="D2881" i="63"/>
  <c r="D2882" i="63"/>
  <c r="D2883" i="63"/>
  <c r="D2884" i="63"/>
  <c r="D2885" i="63"/>
  <c r="D2886" i="63"/>
  <c r="D2887" i="63"/>
  <c r="D2888" i="63"/>
  <c r="D2889" i="63"/>
  <c r="D2890" i="63"/>
  <c r="D2891" i="63"/>
  <c r="D2892" i="63"/>
  <c r="D2893" i="63"/>
  <c r="D2894" i="63"/>
  <c r="D2895" i="63"/>
  <c r="D2896" i="63"/>
  <c r="D2897" i="63"/>
  <c r="D2898" i="63"/>
  <c r="D2899" i="63"/>
  <c r="D2900" i="63"/>
  <c r="D6" i="63"/>
  <c r="L12" i="63" l="1"/>
  <c r="L11" i="63"/>
  <c r="L10" i="63"/>
  <c r="L9" i="63"/>
  <c r="L8" i="63"/>
  <c r="L7" i="63"/>
  <c r="L6" i="63"/>
  <c r="K12" i="63"/>
  <c r="K11" i="63"/>
  <c r="K10" i="63"/>
  <c r="K9" i="63"/>
  <c r="K8" i="63"/>
  <c r="K7" i="63"/>
  <c r="K6" i="63"/>
  <c r="J12" i="63"/>
  <c r="J11" i="63"/>
  <c r="J10" i="63"/>
  <c r="J9" i="63"/>
  <c r="J8" i="63"/>
  <c r="J7" i="63"/>
  <c r="J6" i="63"/>
  <c r="I12" i="63"/>
  <c r="I11" i="63"/>
  <c r="I10" i="63"/>
  <c r="I9" i="63"/>
  <c r="I8" i="63"/>
  <c r="I7" i="63"/>
  <c r="I6" i="63"/>
  <c r="H18" i="101" l="1"/>
  <c r="G18" i="101"/>
  <c r="L18" i="101"/>
  <c r="K18" i="101"/>
  <c r="J18" i="101"/>
  <c r="I18" i="101"/>
  <c r="H17" i="101"/>
  <c r="G17" i="101"/>
  <c r="L17" i="101"/>
  <c r="K17" i="101"/>
  <c r="J17" i="101"/>
  <c r="I17" i="101"/>
  <c r="H16" i="101"/>
  <c r="G16" i="101"/>
  <c r="L16" i="101"/>
  <c r="K16" i="101"/>
  <c r="J16" i="101"/>
  <c r="I16" i="101"/>
  <c r="H15" i="101"/>
  <c r="G15" i="101"/>
  <c r="L15" i="101"/>
  <c r="K15" i="101"/>
  <c r="J15" i="101"/>
  <c r="I15" i="101"/>
  <c r="H14" i="101"/>
  <c r="G14" i="101"/>
  <c r="L14" i="101"/>
  <c r="K14" i="101"/>
  <c r="J14" i="101"/>
  <c r="I14" i="101"/>
  <c r="H13" i="101"/>
  <c r="G13" i="101"/>
  <c r="L13" i="101"/>
  <c r="K13" i="101"/>
  <c r="J13" i="101"/>
  <c r="I13" i="101"/>
  <c r="H12" i="101"/>
  <c r="G12" i="101"/>
  <c r="L12" i="101"/>
  <c r="K12" i="101"/>
  <c r="J12" i="101"/>
  <c r="I12" i="101"/>
  <c r="M14" i="101" l="1"/>
  <c r="M12" i="101"/>
  <c r="M16" i="101"/>
  <c r="M18" i="101"/>
  <c r="M13" i="101"/>
  <c r="M15" i="101"/>
  <c r="M17" i="101"/>
  <c r="B150" i="57"/>
</calcChain>
</file>

<file path=xl/sharedStrings.xml><?xml version="1.0" encoding="utf-8"?>
<sst xmlns="http://schemas.openxmlformats.org/spreadsheetml/2006/main" count="6425" uniqueCount="3000">
  <si>
    <t>TB110027</t>
  </si>
  <si>
    <t xml:space="preserve">    ***DO NOT USE***</t>
  </si>
  <si>
    <t>TB106076</t>
  </si>
  <si>
    <t>tb100228</t>
  </si>
  <si>
    <t>LO-TEMP</t>
  </si>
  <si>
    <t>NG</t>
  </si>
  <si>
    <t>TB01037</t>
  </si>
  <si>
    <t>HI-TEMP</t>
  </si>
  <si>
    <t>?</t>
  </si>
  <si>
    <t>TB100197</t>
  </si>
  <si>
    <t>TB196</t>
  </si>
  <si>
    <t>TB100227</t>
  </si>
  <si>
    <t>TB291</t>
  </si>
  <si>
    <t>TB100272</t>
  </si>
  <si>
    <t>TB100228</t>
  </si>
  <si>
    <t>TB168</t>
  </si>
  <si>
    <t>TB100224</t>
  </si>
  <si>
    <t>TB171</t>
  </si>
  <si>
    <t>TB100222</t>
  </si>
  <si>
    <t>MTR-SN</t>
  </si>
  <si>
    <t>Coeff-A</t>
  </si>
  <si>
    <t>Coeff-B</t>
  </si>
  <si>
    <t>Coeff-C</t>
  </si>
  <si>
    <t>Calibration Date</t>
  </si>
  <si>
    <t>comments</t>
  </si>
  <si>
    <t>Cal. Residual</t>
  </si>
  <si>
    <t>HI-TEMP - coeffs recalculated Sep2001</t>
  </si>
  <si>
    <t>TB101253</t>
  </si>
  <si>
    <t xml:space="preserve">Hi-Temp </t>
  </si>
  <si>
    <t>Hi-Temp</t>
  </si>
  <si>
    <t>TB103226</t>
  </si>
  <si>
    <t xml:space="preserve">Generic constants </t>
  </si>
  <si>
    <t>TB105018</t>
  </si>
  <si>
    <t>Hi Temp</t>
  </si>
  <si>
    <t>TB104225</t>
  </si>
  <si>
    <t>TB106227</t>
  </si>
  <si>
    <t>TB105047</t>
  </si>
  <si>
    <t>Low Temp</t>
  </si>
  <si>
    <t>TB107192</t>
  </si>
  <si>
    <t>HiTemp</t>
  </si>
  <si>
    <t>TB111189</t>
  </si>
  <si>
    <t>4127b</t>
  </si>
  <si>
    <t>TB108219</t>
  </si>
  <si>
    <t>Hi temp</t>
  </si>
  <si>
    <t>TB113238</t>
  </si>
  <si>
    <t xml:space="preserve"> TB113238</t>
  </si>
  <si>
    <t>Temperature
(res)</t>
  </si>
  <si>
    <t>Bath: Guildline</t>
  </si>
  <si>
    <t xml:space="preserve">Date/Time    </t>
  </si>
  <si>
    <t>Bath Temp</t>
  </si>
  <si>
    <t>SBEFreq</t>
  </si>
  <si>
    <t>SBETemp</t>
  </si>
  <si>
    <t>A</t>
  </si>
  <si>
    <t>B</t>
  </si>
  <si>
    <t>C</t>
  </si>
  <si>
    <t>Log Start Time</t>
  </si>
  <si>
    <t>Log End Time</t>
  </si>
  <si>
    <t>Sorted by max residual (lowest to highest)</t>
  </si>
  <si>
    <t>Ref Temp</t>
  </si>
  <si>
    <t>`</t>
  </si>
  <si>
    <t>Equilibration time, hrs: 0.20</t>
  </si>
  <si>
    <t xml:space="preserve">Seabird Ser Num:  583 Calibration Date: 18SEP12   </t>
  </si>
  <si>
    <t>Calibrated by: SLW 03-31-2015 09:18:24</t>
  </si>
  <si>
    <t xml:space="preserve"> 7:39:45</t>
  </si>
  <si>
    <t xml:space="preserve"> 7:39:55</t>
  </si>
  <si>
    <t xml:space="preserve"> 7:40:5</t>
  </si>
  <si>
    <t xml:space="preserve"> 7:40:15</t>
  </si>
  <si>
    <t xml:space="preserve"> 7:40:25</t>
  </si>
  <si>
    <t xml:space="preserve"> 7:40:35</t>
  </si>
  <si>
    <t xml:space="preserve"> 7:40:45</t>
  </si>
  <si>
    <t xml:space="preserve"> 7:40:55</t>
  </si>
  <si>
    <t xml:space="preserve"> 7:41:5</t>
  </si>
  <si>
    <t xml:space="preserve"> 7:41:15</t>
  </si>
  <si>
    <t xml:space="preserve"> 7:41:25</t>
  </si>
  <si>
    <t xml:space="preserve"> 7:41:35</t>
  </si>
  <si>
    <t xml:space="preserve"> 7:41:45</t>
  </si>
  <si>
    <t xml:space="preserve"> 7:41:55</t>
  </si>
  <si>
    <t xml:space="preserve"> 7:42:5</t>
  </si>
  <si>
    <t xml:space="preserve"> 7:42:15</t>
  </si>
  <si>
    <t xml:space="preserve"> 7:42:25</t>
  </si>
  <si>
    <t xml:space="preserve"> 7:42:35</t>
  </si>
  <si>
    <t xml:space="preserve"> 7:42:45</t>
  </si>
  <si>
    <t xml:space="preserve"> 7:42:55</t>
  </si>
  <si>
    <t xml:space="preserve"> 7:43:5</t>
  </si>
  <si>
    <t xml:space="preserve"> 7:43:15</t>
  </si>
  <si>
    <t xml:space="preserve"> 7:43:25</t>
  </si>
  <si>
    <t xml:space="preserve"> 7:43:35</t>
  </si>
  <si>
    <t xml:space="preserve"> 7:43:45</t>
  </si>
  <si>
    <t xml:space="preserve"> 7:43:55</t>
  </si>
  <si>
    <t xml:space="preserve"> 7:44:5</t>
  </si>
  <si>
    <t xml:space="preserve"> 7:44:15</t>
  </si>
  <si>
    <t xml:space="preserve"> 7:44:25</t>
  </si>
  <si>
    <t xml:space="preserve"> 7:44:35</t>
  </si>
  <si>
    <t xml:space="preserve"> 7:44:45</t>
  </si>
  <si>
    <t xml:space="preserve"> 7:44:55</t>
  </si>
  <si>
    <t xml:space="preserve"> 7:45:5</t>
  </si>
  <si>
    <t xml:space="preserve"> 7:45:15</t>
  </si>
  <si>
    <t xml:space="preserve"> 7:45:25</t>
  </si>
  <si>
    <t xml:space="preserve"> 7:45:35</t>
  </si>
  <si>
    <t xml:space="preserve"> 7:45:45</t>
  </si>
  <si>
    <t xml:space="preserve"> 7:45:55</t>
  </si>
  <si>
    <t xml:space="preserve"> 7:46:5</t>
  </si>
  <si>
    <t xml:space="preserve"> 7:46:15</t>
  </si>
  <si>
    <t xml:space="preserve"> 7:46:25</t>
  </si>
  <si>
    <t xml:space="preserve"> 7:46:35</t>
  </si>
  <si>
    <t xml:space="preserve"> 7:46:45</t>
  </si>
  <si>
    <t xml:space="preserve"> 7:46:55</t>
  </si>
  <si>
    <t xml:space="preserve"> 7:47:5</t>
  </si>
  <si>
    <t xml:space="preserve"> 7:47:15</t>
  </si>
  <si>
    <t xml:space="preserve"> 7:47:25</t>
  </si>
  <si>
    <t xml:space="preserve"> 7:47:35</t>
  </si>
  <si>
    <t xml:space="preserve"> 7:47:45</t>
  </si>
  <si>
    <t xml:space="preserve"> 7:47:55</t>
  </si>
  <si>
    <t xml:space="preserve"> 7:48:5</t>
  </si>
  <si>
    <t xml:space="preserve"> 7:48:15</t>
  </si>
  <si>
    <t xml:space="preserve"> 7:48:25</t>
  </si>
  <si>
    <t xml:space="preserve"> 7:48:35</t>
  </si>
  <si>
    <t xml:space="preserve"> 7:48:45</t>
  </si>
  <si>
    <t xml:space="preserve"> 7:48:55</t>
  </si>
  <si>
    <t xml:space="preserve"> 7:49:5</t>
  </si>
  <si>
    <t xml:space="preserve"> 7:49:15</t>
  </si>
  <si>
    <t xml:space="preserve"> 7:49:25</t>
  </si>
  <si>
    <t xml:space="preserve"> 7:49:35</t>
  </si>
  <si>
    <t xml:space="preserve"> 7:49:45</t>
  </si>
  <si>
    <t xml:space="preserve"> 7:49:55</t>
  </si>
  <si>
    <t xml:space="preserve"> 7:50:5</t>
  </si>
  <si>
    <t xml:space="preserve"> 7:50:15</t>
  </si>
  <si>
    <t xml:space="preserve"> 7:50:25</t>
  </si>
  <si>
    <t xml:space="preserve"> 7:50:35</t>
  </si>
  <si>
    <t xml:space="preserve"> 7:50:45</t>
  </si>
  <si>
    <t xml:space="preserve"> 7:50:55</t>
  </si>
  <si>
    <t xml:space="preserve"> 7:51:5</t>
  </si>
  <si>
    <t xml:space="preserve"> 7:51:15</t>
  </si>
  <si>
    <t xml:space="preserve"> 7:51:25</t>
  </si>
  <si>
    <t xml:space="preserve"> 7:51:35</t>
  </si>
  <si>
    <t xml:space="preserve"> 7:51:45</t>
  </si>
  <si>
    <t xml:space="preserve"> 7:51:55</t>
  </si>
  <si>
    <t xml:space="preserve"> 7:52:5</t>
  </si>
  <si>
    <t xml:space="preserve"> 7:52:15</t>
  </si>
  <si>
    <t xml:space="preserve"> 7:52:25</t>
  </si>
  <si>
    <t xml:space="preserve"> 7:52:35</t>
  </si>
  <si>
    <t xml:space="preserve"> 7:52:45</t>
  </si>
  <si>
    <t xml:space="preserve"> 7:52:55</t>
  </si>
  <si>
    <t xml:space="preserve"> 7:53:5</t>
  </si>
  <si>
    <t xml:space="preserve"> 7:53:15</t>
  </si>
  <si>
    <t xml:space="preserve"> 7:53:25</t>
  </si>
  <si>
    <t xml:space="preserve"> 7:53:35</t>
  </si>
  <si>
    <t xml:space="preserve"> 7:53:45</t>
  </si>
  <si>
    <t xml:space="preserve"> 7:53:55</t>
  </si>
  <si>
    <t xml:space="preserve"> 7:54:5</t>
  </si>
  <si>
    <t xml:space="preserve"> 7:54:15</t>
  </si>
  <si>
    <t xml:space="preserve"> 7:54:25</t>
  </si>
  <si>
    <t xml:space="preserve"> 7:54:35</t>
  </si>
  <si>
    <t xml:space="preserve"> 7:54:45</t>
  </si>
  <si>
    <t xml:space="preserve"> 7:54:55</t>
  </si>
  <si>
    <t xml:space="preserve"> 7:55:5</t>
  </si>
  <si>
    <t xml:space="preserve"> 7:55:15</t>
  </si>
  <si>
    <t xml:space="preserve"> 7:55:25</t>
  </si>
  <si>
    <t xml:space="preserve"> 7:55:35</t>
  </si>
  <si>
    <t xml:space="preserve"> 7:55:45</t>
  </si>
  <si>
    <t xml:space="preserve"> 7:55:55</t>
  </si>
  <si>
    <t xml:space="preserve"> 7:56:5</t>
  </si>
  <si>
    <t xml:space="preserve"> 7:56:15</t>
  </si>
  <si>
    <t xml:space="preserve"> 7:56:25</t>
  </si>
  <si>
    <t xml:space="preserve"> 7:56:35</t>
  </si>
  <si>
    <t xml:space="preserve"> 7:56:45</t>
  </si>
  <si>
    <t xml:space="preserve"> 7:56:55</t>
  </si>
  <si>
    <t xml:space="preserve"> 7:57:5</t>
  </si>
  <si>
    <t xml:space="preserve"> 7:57:15</t>
  </si>
  <si>
    <t xml:space="preserve"> 7:57:25</t>
  </si>
  <si>
    <t xml:space="preserve"> 7:57:35</t>
  </si>
  <si>
    <t xml:space="preserve"> 7:57:45</t>
  </si>
  <si>
    <t xml:space="preserve"> 7:57:55</t>
  </si>
  <si>
    <t xml:space="preserve"> 7:58:5</t>
  </si>
  <si>
    <t xml:space="preserve"> 7:58:15</t>
  </si>
  <si>
    <t xml:space="preserve"> 7:58:25</t>
  </si>
  <si>
    <t xml:space="preserve"> 7:58:35</t>
  </si>
  <si>
    <t xml:space="preserve"> 7:58:45</t>
  </si>
  <si>
    <t xml:space="preserve"> 7:58:55</t>
  </si>
  <si>
    <t xml:space="preserve"> 7:59:5</t>
  </si>
  <si>
    <t xml:space="preserve"> 7:59:15</t>
  </si>
  <si>
    <t xml:space="preserve"> 7:59:25</t>
  </si>
  <si>
    <t xml:space="preserve"> 7:59:35</t>
  </si>
  <si>
    <t xml:space="preserve"> 7:59:45</t>
  </si>
  <si>
    <t xml:space="preserve"> 7:59:55</t>
  </si>
  <si>
    <t xml:space="preserve"> 8:0:5</t>
  </si>
  <si>
    <t xml:space="preserve"> 8:0:15</t>
  </si>
  <si>
    <t xml:space="preserve"> 8:0:25</t>
  </si>
  <si>
    <t xml:space="preserve"> 8:0:35</t>
  </si>
  <si>
    <t xml:space="preserve"> 8:0:45</t>
  </si>
  <si>
    <t xml:space="preserve"> 8:0:55</t>
  </si>
  <si>
    <t xml:space="preserve"> 8:1:5</t>
  </si>
  <si>
    <t xml:space="preserve"> 8:1:15</t>
  </si>
  <si>
    <t xml:space="preserve"> 8:1:25</t>
  </si>
  <si>
    <t xml:space="preserve"> 8:1:35</t>
  </si>
  <si>
    <t xml:space="preserve"> 8:1:45</t>
  </si>
  <si>
    <t xml:space="preserve"> 8:1:55</t>
  </si>
  <si>
    <t xml:space="preserve"> 8:2:5</t>
  </si>
  <si>
    <t xml:space="preserve"> 8:2:15</t>
  </si>
  <si>
    <t xml:space="preserve"> 8:2:25</t>
  </si>
  <si>
    <t xml:space="preserve"> 8:2:35</t>
  </si>
  <si>
    <t xml:space="preserve"> 8:2:45</t>
  </si>
  <si>
    <t xml:space="preserve"> 8:2:55</t>
  </si>
  <si>
    <t xml:space="preserve"> 8:3:5</t>
  </si>
  <si>
    <t xml:space="preserve"> 8:3:15</t>
  </si>
  <si>
    <t xml:space="preserve"> 8:3:25</t>
  </si>
  <si>
    <t xml:space="preserve"> 8:3:35</t>
  </si>
  <si>
    <t xml:space="preserve"> 8:3:45</t>
  </si>
  <si>
    <t xml:space="preserve"> 8:3:55</t>
  </si>
  <si>
    <t xml:space="preserve"> 8:4:5</t>
  </si>
  <si>
    <t xml:space="preserve"> 8:4:15</t>
  </si>
  <si>
    <t xml:space="preserve"> 8:4:25</t>
  </si>
  <si>
    <t xml:space="preserve"> 8:4:35</t>
  </si>
  <si>
    <t xml:space="preserve"> 8:4:45</t>
  </si>
  <si>
    <t xml:space="preserve"> 8:4:55</t>
  </si>
  <si>
    <t xml:space="preserve"> 8:5:5</t>
  </si>
  <si>
    <t xml:space="preserve"> 8:5:15</t>
  </si>
  <si>
    <t xml:space="preserve"> 8:5:25</t>
  </si>
  <si>
    <t xml:space="preserve"> 8:5:35</t>
  </si>
  <si>
    <t xml:space="preserve"> 8:5:45</t>
  </si>
  <si>
    <t xml:space="preserve"> 8:5:55</t>
  </si>
  <si>
    <t xml:space="preserve"> 8:6:5</t>
  </si>
  <si>
    <t xml:space="preserve"> 8:6:15</t>
  </si>
  <si>
    <t xml:space="preserve"> 8:6:25</t>
  </si>
  <si>
    <t xml:space="preserve"> 8:6:35</t>
  </si>
  <si>
    <t xml:space="preserve"> 8:6:45</t>
  </si>
  <si>
    <t xml:space="preserve"> 8:6:55</t>
  </si>
  <si>
    <t xml:space="preserve"> 8:7:5</t>
  </si>
  <si>
    <t xml:space="preserve"> 8:7:15</t>
  </si>
  <si>
    <t xml:space="preserve"> 8:7:25</t>
  </si>
  <si>
    <t xml:space="preserve"> 8:7:35</t>
  </si>
  <si>
    <t xml:space="preserve"> 8:7:45</t>
  </si>
  <si>
    <t xml:space="preserve"> 8:7:55</t>
  </si>
  <si>
    <t xml:space="preserve"> 8:8:5</t>
  </si>
  <si>
    <t xml:space="preserve"> 8:8:15</t>
  </si>
  <si>
    <t xml:space="preserve"> 8:8:25</t>
  </si>
  <si>
    <t xml:space="preserve"> 8:8:35</t>
  </si>
  <si>
    <t xml:space="preserve"> 8:8:45</t>
  </si>
  <si>
    <t xml:space="preserve"> 8:8:55</t>
  </si>
  <si>
    <t xml:space="preserve"> 8:9:5</t>
  </si>
  <si>
    <t xml:space="preserve"> 8:9:15</t>
  </si>
  <si>
    <t xml:space="preserve"> 8:9:25</t>
  </si>
  <si>
    <t xml:space="preserve"> 8:9:35</t>
  </si>
  <si>
    <t xml:space="preserve"> 8:9:45</t>
  </si>
  <si>
    <t xml:space="preserve"> 8:9:55</t>
  </si>
  <si>
    <t xml:space="preserve"> 8:10:5</t>
  </si>
  <si>
    <t xml:space="preserve"> 8:10:15</t>
  </si>
  <si>
    <t xml:space="preserve"> 8:10:25</t>
  </si>
  <si>
    <t xml:space="preserve"> 8:10:35</t>
  </si>
  <si>
    <t xml:space="preserve"> 8:10:45</t>
  </si>
  <si>
    <t xml:space="preserve"> 8:10:55</t>
  </si>
  <si>
    <t xml:space="preserve"> 8:11:5</t>
  </si>
  <si>
    <t xml:space="preserve"> 8:11:15</t>
  </si>
  <si>
    <t xml:space="preserve"> 8:11:25</t>
  </si>
  <si>
    <t xml:space="preserve"> 8:11:35</t>
  </si>
  <si>
    <t xml:space="preserve"> 8:11:45</t>
  </si>
  <si>
    <t xml:space="preserve"> 8:11:55</t>
  </si>
  <si>
    <t xml:space="preserve"> 8:12:5</t>
  </si>
  <si>
    <t xml:space="preserve"> 8:12:15</t>
  </si>
  <si>
    <t xml:space="preserve"> 8:12:25</t>
  </si>
  <si>
    <t xml:space="preserve"> 8:12:35</t>
  </si>
  <si>
    <t xml:space="preserve"> 8:12:45</t>
  </si>
  <si>
    <t xml:space="preserve"> 8:12:55</t>
  </si>
  <si>
    <t xml:space="preserve"> 8:13:5</t>
  </si>
  <si>
    <t xml:space="preserve"> 8:13:15</t>
  </si>
  <si>
    <t xml:space="preserve"> 8:13:25</t>
  </si>
  <si>
    <t xml:space="preserve"> 8:13:35</t>
  </si>
  <si>
    <t xml:space="preserve"> 8:13:45</t>
  </si>
  <si>
    <t xml:space="preserve"> 8:13:55</t>
  </si>
  <si>
    <t xml:space="preserve"> 8:14:5</t>
  </si>
  <si>
    <t xml:space="preserve"> 8:14:15</t>
  </si>
  <si>
    <t xml:space="preserve"> 8:14:25</t>
  </si>
  <si>
    <t xml:space="preserve"> 8:14:35</t>
  </si>
  <si>
    <t xml:space="preserve"> 8:14:45</t>
  </si>
  <si>
    <t xml:space="preserve"> 8:14:55</t>
  </si>
  <si>
    <t xml:space="preserve"> 8:15:5</t>
  </si>
  <si>
    <t xml:space="preserve"> 8:15:15</t>
  </si>
  <si>
    <t xml:space="preserve"> 8:15:25</t>
  </si>
  <si>
    <t xml:space="preserve"> 8:15:35</t>
  </si>
  <si>
    <t xml:space="preserve"> 8:15:45</t>
  </si>
  <si>
    <t xml:space="preserve"> 8:15:55</t>
  </si>
  <si>
    <t xml:space="preserve"> 8:16:5</t>
  </si>
  <si>
    <t xml:space="preserve"> 8:16:15</t>
  </si>
  <si>
    <t xml:space="preserve"> 8:16:25</t>
  </si>
  <si>
    <t xml:space="preserve"> 8:16:35</t>
  </si>
  <si>
    <t xml:space="preserve"> 8:16:45</t>
  </si>
  <si>
    <t xml:space="preserve"> 8:16:55</t>
  </si>
  <si>
    <t xml:space="preserve"> 8:17:5</t>
  </si>
  <si>
    <t xml:space="preserve"> 8:17:15</t>
  </si>
  <si>
    <t xml:space="preserve"> 8:17:25</t>
  </si>
  <si>
    <t xml:space="preserve"> 8:17:35</t>
  </si>
  <si>
    <t xml:space="preserve"> 8:17:45</t>
  </si>
  <si>
    <t xml:space="preserve"> 8:17:55</t>
  </si>
  <si>
    <t xml:space="preserve"> 8:18:5</t>
  </si>
  <si>
    <t xml:space="preserve"> 8:18:15</t>
  </si>
  <si>
    <t xml:space="preserve"> 8:18:25</t>
  </si>
  <si>
    <t xml:space="preserve"> 8:18:35</t>
  </si>
  <si>
    <t xml:space="preserve"> 8:18:45</t>
  </si>
  <si>
    <t xml:space="preserve"> 8:18:55</t>
  </si>
  <si>
    <t xml:space="preserve"> 8:19:5</t>
  </si>
  <si>
    <t xml:space="preserve"> 8:19:15</t>
  </si>
  <si>
    <t xml:space="preserve"> 8:19:25</t>
  </si>
  <si>
    <t xml:space="preserve"> 8:19:35</t>
  </si>
  <si>
    <t xml:space="preserve"> 8:19:45</t>
  </si>
  <si>
    <t xml:space="preserve"> 8:19:55</t>
  </si>
  <si>
    <t xml:space="preserve"> 8:20:5</t>
  </si>
  <si>
    <t xml:space="preserve"> 8:20:15</t>
  </si>
  <si>
    <t xml:space="preserve"> 8:20:25</t>
  </si>
  <si>
    <t xml:space="preserve"> 8:20:35</t>
  </si>
  <si>
    <t xml:space="preserve"> 8:20:45</t>
  </si>
  <si>
    <t xml:space="preserve"> 8:20:55</t>
  </si>
  <si>
    <t xml:space="preserve"> 8:21:5</t>
  </si>
  <si>
    <t xml:space="preserve"> 8:21:15</t>
  </si>
  <si>
    <t xml:space="preserve"> 8:21:25</t>
  </si>
  <si>
    <t xml:space="preserve"> 8:21:35</t>
  </si>
  <si>
    <t xml:space="preserve"> 8:21:45</t>
  </si>
  <si>
    <t xml:space="preserve"> 8:21:55</t>
  </si>
  <si>
    <t xml:space="preserve"> 8:22:5</t>
  </si>
  <si>
    <t xml:space="preserve"> 8:22:15</t>
  </si>
  <si>
    <t xml:space="preserve"> 8:22:25</t>
  </si>
  <si>
    <t xml:space="preserve"> 8:22:35</t>
  </si>
  <si>
    <t xml:space="preserve"> 8:22:45</t>
  </si>
  <si>
    <t xml:space="preserve"> 8:22:55</t>
  </si>
  <si>
    <t xml:space="preserve"> 8:23:5</t>
  </si>
  <si>
    <t xml:space="preserve"> 8:23:15</t>
  </si>
  <si>
    <t xml:space="preserve"> 8:23:25</t>
  </si>
  <si>
    <t xml:space="preserve"> 8:23:35</t>
  </si>
  <si>
    <t xml:space="preserve"> 8:23:45</t>
  </si>
  <si>
    <t xml:space="preserve"> 8:23:55</t>
  </si>
  <si>
    <t xml:space="preserve"> 8:24:5</t>
  </si>
  <si>
    <t xml:space="preserve"> 8:24:15</t>
  </si>
  <si>
    <t xml:space="preserve"> 8:24:25</t>
  </si>
  <si>
    <t xml:space="preserve"> 8:24:35</t>
  </si>
  <si>
    <t xml:space="preserve"> 8:24:45</t>
  </si>
  <si>
    <t xml:space="preserve"> 8:24:55</t>
  </si>
  <si>
    <t xml:space="preserve"> 8:25:5</t>
  </si>
  <si>
    <t xml:space="preserve"> 8:25:15</t>
  </si>
  <si>
    <t xml:space="preserve"> 8:25:25</t>
  </si>
  <si>
    <t xml:space="preserve"> 8:25:35</t>
  </si>
  <si>
    <t xml:space="preserve"> 8:25:45</t>
  </si>
  <si>
    <t xml:space="preserve"> 8:25:55</t>
  </si>
  <si>
    <t xml:space="preserve"> 8:26:5</t>
  </si>
  <si>
    <t xml:space="preserve"> 8:26:15</t>
  </si>
  <si>
    <t xml:space="preserve"> 8:26:25</t>
  </si>
  <si>
    <t xml:space="preserve"> 8:26:35</t>
  </si>
  <si>
    <t xml:space="preserve"> 8:26:45</t>
  </si>
  <si>
    <t xml:space="preserve"> 8:26:55</t>
  </si>
  <si>
    <t xml:space="preserve"> 8:27:5</t>
  </si>
  <si>
    <t xml:space="preserve"> 8:27:15</t>
  </si>
  <si>
    <t xml:space="preserve"> 8:27:25</t>
  </si>
  <si>
    <t xml:space="preserve"> 8:27:35</t>
  </si>
  <si>
    <t xml:space="preserve"> 8:27:45</t>
  </si>
  <si>
    <t xml:space="preserve"> 8:27:55</t>
  </si>
  <si>
    <t xml:space="preserve"> 8:28:5</t>
  </si>
  <si>
    <t xml:space="preserve"> 8:28:15</t>
  </si>
  <si>
    <t xml:space="preserve"> 8:28:25</t>
  </si>
  <si>
    <t xml:space="preserve"> 8:28:35</t>
  </si>
  <si>
    <t xml:space="preserve"> 8:28:45</t>
  </si>
  <si>
    <t xml:space="preserve"> 8:28:55</t>
  </si>
  <si>
    <t xml:space="preserve"> 8:29:5</t>
  </si>
  <si>
    <t xml:space="preserve"> 8:29:15</t>
  </si>
  <si>
    <t xml:space="preserve"> 8:29:25</t>
  </si>
  <si>
    <t xml:space="preserve"> 8:29:35</t>
  </si>
  <si>
    <t xml:space="preserve"> 8:29:45</t>
  </si>
  <si>
    <t xml:space="preserve"> 8:29:55</t>
  </si>
  <si>
    <t xml:space="preserve"> 8:30:5</t>
  </si>
  <si>
    <t xml:space="preserve"> 8:30:15</t>
  </si>
  <si>
    <t xml:space="preserve"> 8:30:25</t>
  </si>
  <si>
    <t xml:space="preserve"> 8:30:35</t>
  </si>
  <si>
    <t xml:space="preserve"> 8:30:45</t>
  </si>
  <si>
    <t xml:space="preserve"> 8:30:55</t>
  </si>
  <si>
    <t xml:space="preserve"> 8:31:5</t>
  </si>
  <si>
    <t xml:space="preserve"> 8:31:15</t>
  </si>
  <si>
    <t xml:space="preserve"> 8:31:25</t>
  </si>
  <si>
    <t xml:space="preserve"> 8:31:35</t>
  </si>
  <si>
    <t xml:space="preserve"> 8:31:45</t>
  </si>
  <si>
    <t xml:space="preserve"> 8:31:55</t>
  </si>
  <si>
    <t xml:space="preserve"> 8:32:5</t>
  </si>
  <si>
    <t xml:space="preserve"> 8:32:15</t>
  </si>
  <si>
    <t xml:space="preserve"> 8:32:25</t>
  </si>
  <si>
    <t xml:space="preserve"> 8:32:35</t>
  </si>
  <si>
    <t xml:space="preserve"> 8:32:45</t>
  </si>
  <si>
    <t xml:space="preserve"> 8:32:55</t>
  </si>
  <si>
    <t xml:space="preserve"> 8:33:5</t>
  </si>
  <si>
    <t xml:space="preserve"> 8:33:15</t>
  </si>
  <si>
    <t xml:space="preserve"> 8:33:25</t>
  </si>
  <si>
    <t xml:space="preserve"> 8:33:35</t>
  </si>
  <si>
    <t xml:space="preserve"> 8:33:45</t>
  </si>
  <si>
    <t xml:space="preserve"> 8:33:55</t>
  </si>
  <si>
    <t xml:space="preserve"> 8:34:5</t>
  </si>
  <si>
    <t xml:space="preserve"> 8:34:15</t>
  </si>
  <si>
    <t xml:space="preserve"> 8:34:25</t>
  </si>
  <si>
    <t xml:space="preserve"> 8:34:35</t>
  </si>
  <si>
    <t xml:space="preserve"> 8:34:45</t>
  </si>
  <si>
    <t xml:space="preserve"> 8:34:55</t>
  </si>
  <si>
    <t xml:space="preserve"> 8:35:5</t>
  </si>
  <si>
    <t xml:space="preserve"> 8:35:15</t>
  </si>
  <si>
    <t xml:space="preserve"> 8:35:25</t>
  </si>
  <si>
    <t xml:space="preserve"> 8:35:35</t>
  </si>
  <si>
    <t xml:space="preserve"> 8:35:45</t>
  </si>
  <si>
    <t xml:space="preserve"> 8:35:55</t>
  </si>
  <si>
    <t xml:space="preserve"> 8:36:5</t>
  </si>
  <si>
    <t xml:space="preserve"> 8:36:15</t>
  </si>
  <si>
    <t xml:space="preserve"> 8:36:25</t>
  </si>
  <si>
    <t xml:space="preserve"> 8:36:35</t>
  </si>
  <si>
    <t xml:space="preserve"> 8:36:45</t>
  </si>
  <si>
    <t xml:space="preserve"> 8:36:55</t>
  </si>
  <si>
    <t xml:space="preserve"> 8:37:5</t>
  </si>
  <si>
    <t xml:space="preserve"> 8:37:15</t>
  </si>
  <si>
    <t xml:space="preserve"> 8:37:25</t>
  </si>
  <si>
    <t xml:space="preserve"> 8:37:35</t>
  </si>
  <si>
    <t xml:space="preserve"> 8:37:45</t>
  </si>
  <si>
    <t xml:space="preserve"> 8:37:55</t>
  </si>
  <si>
    <t xml:space="preserve"> 8:38:5</t>
  </si>
  <si>
    <t xml:space="preserve"> 8:38:15</t>
  </si>
  <si>
    <t xml:space="preserve"> 8:38:25</t>
  </si>
  <si>
    <t xml:space="preserve"> 8:38:35</t>
  </si>
  <si>
    <t xml:space="preserve"> 8:38:45</t>
  </si>
  <si>
    <t xml:space="preserve"> 8:38:55</t>
  </si>
  <si>
    <t xml:space="preserve"> 8:39:5</t>
  </si>
  <si>
    <t xml:space="preserve"> 8:39:15</t>
  </si>
  <si>
    <t xml:space="preserve"> 8:39:25</t>
  </si>
  <si>
    <t xml:space="preserve"> 8:39:35</t>
  </si>
  <si>
    <t xml:space="preserve"> 8:39:45</t>
  </si>
  <si>
    <t xml:space="preserve"> 8:39:55</t>
  </si>
  <si>
    <t xml:space="preserve"> 8:40:5</t>
  </si>
  <si>
    <t xml:space="preserve"> 8:40:15</t>
  </si>
  <si>
    <t xml:space="preserve"> 8:40:25</t>
  </si>
  <si>
    <t xml:space="preserve"> 8:40:35</t>
  </si>
  <si>
    <t xml:space="preserve"> 8:40:45</t>
  </si>
  <si>
    <t xml:space="preserve"> 8:40:55</t>
  </si>
  <si>
    <t xml:space="preserve"> 8:41:5</t>
  </si>
  <si>
    <t xml:space="preserve"> 8:41:15</t>
  </si>
  <si>
    <t xml:space="preserve"> 8:41:25</t>
  </si>
  <si>
    <t xml:space="preserve"> 8:41:35</t>
  </si>
  <si>
    <t xml:space="preserve"> 8:41:45</t>
  </si>
  <si>
    <t xml:space="preserve"> 8:41:55</t>
  </si>
  <si>
    <t xml:space="preserve"> 8:42:5</t>
  </si>
  <si>
    <t xml:space="preserve"> 8:42:15</t>
  </si>
  <si>
    <t xml:space="preserve"> 8:42:25</t>
  </si>
  <si>
    <t xml:space="preserve"> 8:42:35</t>
  </si>
  <si>
    <t xml:space="preserve"> 8:42:45</t>
  </si>
  <si>
    <t xml:space="preserve"> 8:42:55</t>
  </si>
  <si>
    <t xml:space="preserve"> 8:43:5</t>
  </si>
  <si>
    <t xml:space="preserve"> 8:43:15</t>
  </si>
  <si>
    <t xml:space="preserve"> 8:43:25</t>
  </si>
  <si>
    <t xml:space="preserve"> 8:43:35</t>
  </si>
  <si>
    <t xml:space="preserve"> 8:43:45</t>
  </si>
  <si>
    <t xml:space="preserve"> 8:43:55</t>
  </si>
  <si>
    <t xml:space="preserve"> 8:44:5</t>
  </si>
  <si>
    <t xml:space="preserve"> 8:44:15</t>
  </si>
  <si>
    <t xml:space="preserve"> 8:44:25</t>
  </si>
  <si>
    <t xml:space="preserve"> 8:44:35</t>
  </si>
  <si>
    <t xml:space="preserve"> 8:44:45</t>
  </si>
  <si>
    <t xml:space="preserve"> 8:44:55</t>
  </si>
  <si>
    <t xml:space="preserve"> 8:45:5</t>
  </si>
  <si>
    <t xml:space="preserve"> 8:45:15</t>
  </si>
  <si>
    <t xml:space="preserve"> 8:45:25</t>
  </si>
  <si>
    <t xml:space="preserve"> 8:45:35</t>
  </si>
  <si>
    <t xml:space="preserve"> 8:45:45</t>
  </si>
  <si>
    <t xml:space="preserve"> 8:45:55</t>
  </si>
  <si>
    <t xml:space="preserve"> 8:46:5</t>
  </si>
  <si>
    <t xml:space="preserve"> 8:46:15</t>
  </si>
  <si>
    <t xml:space="preserve"> 8:46:25</t>
  </si>
  <si>
    <t xml:space="preserve"> 8:46:35</t>
  </si>
  <si>
    <t xml:space="preserve"> 8:46:45</t>
  </si>
  <si>
    <t xml:space="preserve"> 8:46:55</t>
  </si>
  <si>
    <t xml:space="preserve"> 8:47:5</t>
  </si>
  <si>
    <t xml:space="preserve"> 8:47:15</t>
  </si>
  <si>
    <t xml:space="preserve"> 8:47:25</t>
  </si>
  <si>
    <t xml:space="preserve"> 8:47:35</t>
  </si>
  <si>
    <t xml:space="preserve"> 8:47:45</t>
  </si>
  <si>
    <t xml:space="preserve"> 8:47:55</t>
  </si>
  <si>
    <t xml:space="preserve"> 8:48:5</t>
  </si>
  <si>
    <t xml:space="preserve"> 8:48:15</t>
  </si>
  <si>
    <t xml:space="preserve"> 8:48:25</t>
  </si>
  <si>
    <t xml:space="preserve"> 8:48:35</t>
  </si>
  <si>
    <t xml:space="preserve"> 8:48:45</t>
  </si>
  <si>
    <t xml:space="preserve"> 8:48:55</t>
  </si>
  <si>
    <t xml:space="preserve"> 8:49:5</t>
  </si>
  <si>
    <t xml:space="preserve"> 8:49:15</t>
  </si>
  <si>
    <t xml:space="preserve"> 8:49:25</t>
  </si>
  <si>
    <t xml:space="preserve"> 8:49:35</t>
  </si>
  <si>
    <t xml:space="preserve"> 8:49:45</t>
  </si>
  <si>
    <t xml:space="preserve"> 8:49:55</t>
  </si>
  <si>
    <t xml:space="preserve"> 8:50:5</t>
  </si>
  <si>
    <t xml:space="preserve"> 8:50:15</t>
  </si>
  <si>
    <t xml:space="preserve"> 8:50:25</t>
  </si>
  <si>
    <t xml:space="preserve"> 8:50:35</t>
  </si>
  <si>
    <t xml:space="preserve"> 8:50:45</t>
  </si>
  <si>
    <t xml:space="preserve"> 8:50:55</t>
  </si>
  <si>
    <t xml:space="preserve"> 8:51:5</t>
  </si>
  <si>
    <t xml:space="preserve"> 8:51:15</t>
  </si>
  <si>
    <t xml:space="preserve"> 8:51:25</t>
  </si>
  <si>
    <t xml:space="preserve"> 8:51:35</t>
  </si>
  <si>
    <t xml:space="preserve"> 8:51:45</t>
  </si>
  <si>
    <t xml:space="preserve"> 8:51:55</t>
  </si>
  <si>
    <t xml:space="preserve"> 8:52:5</t>
  </si>
  <si>
    <t xml:space="preserve"> 8:52:15</t>
  </si>
  <si>
    <t xml:space="preserve"> 8:52:25</t>
  </si>
  <si>
    <t xml:space="preserve"> 8:52:35</t>
  </si>
  <si>
    <t xml:space="preserve"> 8:52:45</t>
  </si>
  <si>
    <t xml:space="preserve"> 8:52:55</t>
  </si>
  <si>
    <t xml:space="preserve"> 8:53:5</t>
  </si>
  <si>
    <t xml:space="preserve"> 8:53:15</t>
  </si>
  <si>
    <t xml:space="preserve"> 8:53:25</t>
  </si>
  <si>
    <t xml:space="preserve"> 8:53:35</t>
  </si>
  <si>
    <t xml:space="preserve"> 8:53:45</t>
  </si>
  <si>
    <t xml:space="preserve"> 8:53:55</t>
  </si>
  <si>
    <t xml:space="preserve"> 8:54:5</t>
  </si>
  <si>
    <t xml:space="preserve"> 8:54:15</t>
  </si>
  <si>
    <t xml:space="preserve"> 8:54:25</t>
  </si>
  <si>
    <t xml:space="preserve"> 8:54:35</t>
  </si>
  <si>
    <t xml:space="preserve"> 8:54:45</t>
  </si>
  <si>
    <t xml:space="preserve"> 8:54:55</t>
  </si>
  <si>
    <t xml:space="preserve"> 8:55:5</t>
  </si>
  <si>
    <t xml:space="preserve"> 8:55:15</t>
  </si>
  <si>
    <t xml:space="preserve"> 8:55:25</t>
  </si>
  <si>
    <t xml:space="preserve"> 8:55:35</t>
  </si>
  <si>
    <t xml:space="preserve"> 8:55:45</t>
  </si>
  <si>
    <t xml:space="preserve"> 8:55:55</t>
  </si>
  <si>
    <t xml:space="preserve"> 8:56:5</t>
  </si>
  <si>
    <t xml:space="preserve"> 8:56:15</t>
  </si>
  <si>
    <t xml:space="preserve"> 8:56:25</t>
  </si>
  <si>
    <t xml:space="preserve"> 8:56:35</t>
  </si>
  <si>
    <t xml:space="preserve"> 8:56:45</t>
  </si>
  <si>
    <t xml:space="preserve"> 8:56:55</t>
  </si>
  <si>
    <t xml:space="preserve"> 8:57:5</t>
  </si>
  <si>
    <t xml:space="preserve"> 8:57:15</t>
  </si>
  <si>
    <t xml:space="preserve"> 8:57:25</t>
  </si>
  <si>
    <t xml:space="preserve"> 8:57:35</t>
  </si>
  <si>
    <t xml:space="preserve"> 8:57:45</t>
  </si>
  <si>
    <t xml:space="preserve"> 8:57:55</t>
  </si>
  <si>
    <t xml:space="preserve"> 8:58:5</t>
  </si>
  <si>
    <t xml:space="preserve"> 8:58:15</t>
  </si>
  <si>
    <t xml:space="preserve"> 8:58:25</t>
  </si>
  <si>
    <t xml:space="preserve"> 8:58:35</t>
  </si>
  <si>
    <t xml:space="preserve"> 8:58:45</t>
  </si>
  <si>
    <t xml:space="preserve"> 8:58:55</t>
  </si>
  <si>
    <t xml:space="preserve"> 8:59:5</t>
  </si>
  <si>
    <t xml:space="preserve"> 8:59:15</t>
  </si>
  <si>
    <t xml:space="preserve"> 8:59:25</t>
  </si>
  <si>
    <t xml:space="preserve"> 8:59:35</t>
  </si>
  <si>
    <t xml:space="preserve"> 8:59:45</t>
  </si>
  <si>
    <t xml:space="preserve"> 8:59:55</t>
  </si>
  <si>
    <t xml:space="preserve"> 9:0:5</t>
  </si>
  <si>
    <t xml:space="preserve"> 9:0:15</t>
  </si>
  <si>
    <t xml:space="preserve"> 9:0:25</t>
  </si>
  <si>
    <t xml:space="preserve"> 9:0:35</t>
  </si>
  <si>
    <t xml:space="preserve"> 9:0:45</t>
  </si>
  <si>
    <t xml:space="preserve"> 9:0:55</t>
  </si>
  <si>
    <t xml:space="preserve"> 9:1:5</t>
  </si>
  <si>
    <t xml:space="preserve"> 9:1:15</t>
  </si>
  <si>
    <t xml:space="preserve"> 9:1:25</t>
  </si>
  <si>
    <t xml:space="preserve"> 9:1:35</t>
  </si>
  <si>
    <t xml:space="preserve"> 9:1:45</t>
  </si>
  <si>
    <t xml:space="preserve"> 9:1:55</t>
  </si>
  <si>
    <t xml:space="preserve"> 9:2:5</t>
  </si>
  <si>
    <t xml:space="preserve"> 9:2:15</t>
  </si>
  <si>
    <t xml:space="preserve"> 9:2:25</t>
  </si>
  <si>
    <t xml:space="preserve"> 9:2:35</t>
  </si>
  <si>
    <t xml:space="preserve"> 9:2:45</t>
  </si>
  <si>
    <t xml:space="preserve"> 9:2:55</t>
  </si>
  <si>
    <t xml:space="preserve"> 9:3:5</t>
  </si>
  <si>
    <t xml:space="preserve"> 9:3:15</t>
  </si>
  <si>
    <t xml:space="preserve"> 9:3:25</t>
  </si>
  <si>
    <t xml:space="preserve"> 9:3:35</t>
  </si>
  <si>
    <t xml:space="preserve"> 9:3:45</t>
  </si>
  <si>
    <t xml:space="preserve"> 9:3:55</t>
  </si>
  <si>
    <t xml:space="preserve"> 9:4:5</t>
  </si>
  <si>
    <t xml:space="preserve"> 9:4:15</t>
  </si>
  <si>
    <t xml:space="preserve"> 9:4:25</t>
  </si>
  <si>
    <t xml:space="preserve"> 9:4:35</t>
  </si>
  <si>
    <t xml:space="preserve"> 9:4:45</t>
  </si>
  <si>
    <t xml:space="preserve"> 9:4:55</t>
  </si>
  <si>
    <t xml:space="preserve"> 9:5:5</t>
  </si>
  <si>
    <t xml:space="preserve"> 9:5:15</t>
  </si>
  <si>
    <t xml:space="preserve"> 9:5:25</t>
  </si>
  <si>
    <t xml:space="preserve"> 9:5:35</t>
  </si>
  <si>
    <t xml:space="preserve"> 9:5:45</t>
  </si>
  <si>
    <t xml:space="preserve"> 9:5:55</t>
  </si>
  <si>
    <t xml:space="preserve"> 9:6:5</t>
  </si>
  <si>
    <t xml:space="preserve"> 9:6:15</t>
  </si>
  <si>
    <t xml:space="preserve"> 9:6:25</t>
  </si>
  <si>
    <t xml:space="preserve"> 9:6:35</t>
  </si>
  <si>
    <t xml:space="preserve"> 9:6:45</t>
  </si>
  <si>
    <t xml:space="preserve"> 9:6:55</t>
  </si>
  <si>
    <t xml:space="preserve"> 9:7:5</t>
  </si>
  <si>
    <t xml:space="preserve"> 9:7:15</t>
  </si>
  <si>
    <t xml:space="preserve"> 9:7:25</t>
  </si>
  <si>
    <t xml:space="preserve"> 9:7:35</t>
  </si>
  <si>
    <t xml:space="preserve"> 9:7:45</t>
  </si>
  <si>
    <t xml:space="preserve"> 9:7:55</t>
  </si>
  <si>
    <t xml:space="preserve"> 9:8:5</t>
  </si>
  <si>
    <t xml:space="preserve"> 9:8:15</t>
  </si>
  <si>
    <t xml:space="preserve"> 9:8:25</t>
  </si>
  <si>
    <t xml:space="preserve"> 9:8:35</t>
  </si>
  <si>
    <t xml:space="preserve"> 9:8:45</t>
  </si>
  <si>
    <t xml:space="preserve"> 9:8:55</t>
  </si>
  <si>
    <t xml:space="preserve"> 9:9:5</t>
  </si>
  <si>
    <t xml:space="preserve"> 9:9:15</t>
  </si>
  <si>
    <t xml:space="preserve"> 9:9:25</t>
  </si>
  <si>
    <t xml:space="preserve"> 9:9:35</t>
  </si>
  <si>
    <t xml:space="preserve"> 9:9:45</t>
  </si>
  <si>
    <t xml:space="preserve"> 9:9:55</t>
  </si>
  <si>
    <t xml:space="preserve"> 9:10:5</t>
  </si>
  <si>
    <t xml:space="preserve"> 9:10:15</t>
  </si>
  <si>
    <t xml:space="preserve"> 9:10:25</t>
  </si>
  <si>
    <t xml:space="preserve"> 9:10:35</t>
  </si>
  <si>
    <t xml:space="preserve"> 9:10:45</t>
  </si>
  <si>
    <t xml:space="preserve"> 9:10:55</t>
  </si>
  <si>
    <t xml:space="preserve"> 9:11:5</t>
  </si>
  <si>
    <t xml:space="preserve"> 9:11:15</t>
  </si>
  <si>
    <t xml:space="preserve"> 9:11:25</t>
  </si>
  <si>
    <t xml:space="preserve"> 9:11:35</t>
  </si>
  <si>
    <t xml:space="preserve"> 9:11:45</t>
  </si>
  <si>
    <t xml:space="preserve"> 9:11:55</t>
  </si>
  <si>
    <t xml:space="preserve"> 9:12:5</t>
  </si>
  <si>
    <t xml:space="preserve"> 9:12:15</t>
  </si>
  <si>
    <t xml:space="preserve"> 9:12:25</t>
  </si>
  <si>
    <t xml:space="preserve"> 9:12:35</t>
  </si>
  <si>
    <t xml:space="preserve"> 9:12:45</t>
  </si>
  <si>
    <t xml:space="preserve"> 9:12:55</t>
  </si>
  <si>
    <t xml:space="preserve"> 9:13:5</t>
  </si>
  <si>
    <t xml:space="preserve"> 9:13:15</t>
  </si>
  <si>
    <t xml:space="preserve"> 9:13:25</t>
  </si>
  <si>
    <t xml:space="preserve"> 9:13:35</t>
  </si>
  <si>
    <t xml:space="preserve"> 9:13:45</t>
  </si>
  <si>
    <t xml:space="preserve"> 9:13:55</t>
  </si>
  <si>
    <t xml:space="preserve"> 9:14:5</t>
  </si>
  <si>
    <t xml:space="preserve"> 9:14:15</t>
  </si>
  <si>
    <t xml:space="preserve"> 9:14:25</t>
  </si>
  <si>
    <t xml:space="preserve"> 9:14:35</t>
  </si>
  <si>
    <t xml:space="preserve"> 9:14:45</t>
  </si>
  <si>
    <t xml:space="preserve"> 9:14:55</t>
  </si>
  <si>
    <t xml:space="preserve"> 9:15:5</t>
  </si>
  <si>
    <t xml:space="preserve"> 9:15:15</t>
  </si>
  <si>
    <t xml:space="preserve"> 9:15:25</t>
  </si>
  <si>
    <t xml:space="preserve"> 9:15:35</t>
  </si>
  <si>
    <t xml:space="preserve"> 9:15:45</t>
  </si>
  <si>
    <t xml:space="preserve"> 9:15:55</t>
  </si>
  <si>
    <t xml:space="preserve"> 9:16:5</t>
  </si>
  <si>
    <t xml:space="preserve"> 9:16:15</t>
  </si>
  <si>
    <t xml:space="preserve"> 9:16:25</t>
  </si>
  <si>
    <t xml:space="preserve"> 9:16:35</t>
  </si>
  <si>
    <t xml:space="preserve"> 9:16:45</t>
  </si>
  <si>
    <t xml:space="preserve"> 9:16:55</t>
  </si>
  <si>
    <t xml:space="preserve"> 9:17:5</t>
  </si>
  <si>
    <t xml:space="preserve"> 9:17:15</t>
  </si>
  <si>
    <t xml:space="preserve"> 9:17:25</t>
  </si>
  <si>
    <t xml:space="preserve"> 9:17:35</t>
  </si>
  <si>
    <t xml:space="preserve"> 9:17:45</t>
  </si>
  <si>
    <t xml:space="preserve"> 9:17:55</t>
  </si>
  <si>
    <t xml:space="preserve"> 9:18:5</t>
  </si>
  <si>
    <t xml:space="preserve"> 9:18:15</t>
  </si>
  <si>
    <t xml:space="preserve"> 9:18:25</t>
  </si>
  <si>
    <t xml:space="preserve"> 9:18:35</t>
  </si>
  <si>
    <t xml:space="preserve"> 9:18:45</t>
  </si>
  <si>
    <t xml:space="preserve"> 9:18:55</t>
  </si>
  <si>
    <t xml:space="preserve"> 9:19:5</t>
  </si>
  <si>
    <t xml:space="preserve"> 9:19:15</t>
  </si>
  <si>
    <t xml:space="preserve"> 9:19:25</t>
  </si>
  <si>
    <t xml:space="preserve"> 9:19:35</t>
  </si>
  <si>
    <t xml:space="preserve"> 9:19:45</t>
  </si>
  <si>
    <t xml:space="preserve"> 9:19:55</t>
  </si>
  <si>
    <t xml:space="preserve"> 9:20:5</t>
  </si>
  <si>
    <t xml:space="preserve"> 9:20:15</t>
  </si>
  <si>
    <t xml:space="preserve"> 9:20:25</t>
  </si>
  <si>
    <t xml:space="preserve"> 9:20:35</t>
  </si>
  <si>
    <t xml:space="preserve"> 9:20:45</t>
  </si>
  <si>
    <t xml:space="preserve"> 9:20:55</t>
  </si>
  <si>
    <t xml:space="preserve"> 9:21:5</t>
  </si>
  <si>
    <t xml:space="preserve"> 9:21:15</t>
  </si>
  <si>
    <t xml:space="preserve"> 9:21:25</t>
  </si>
  <si>
    <t xml:space="preserve"> 9:21:35</t>
  </si>
  <si>
    <t xml:space="preserve"> 9:21:45</t>
  </si>
  <si>
    <t xml:space="preserve"> 9:21:55</t>
  </si>
  <si>
    <t xml:space="preserve"> 9:22:5</t>
  </si>
  <si>
    <t xml:space="preserve"> 9:22:15</t>
  </si>
  <si>
    <t xml:space="preserve"> 9:22:25</t>
  </si>
  <si>
    <t xml:space="preserve"> 9:22:35</t>
  </si>
  <si>
    <t xml:space="preserve"> 9:22:45</t>
  </si>
  <si>
    <t xml:space="preserve"> 9:22:55</t>
  </si>
  <si>
    <t xml:space="preserve"> 9:23:5</t>
  </si>
  <si>
    <t xml:space="preserve"> 9:23:15</t>
  </si>
  <si>
    <t xml:space="preserve"> 9:23:25</t>
  </si>
  <si>
    <t xml:space="preserve"> 9:23:35</t>
  </si>
  <si>
    <t xml:space="preserve"> 9:23:45</t>
  </si>
  <si>
    <t xml:space="preserve"> 9:23:55</t>
  </si>
  <si>
    <t xml:space="preserve"> 9:24:5</t>
  </si>
  <si>
    <t xml:space="preserve"> 9:24:15</t>
  </si>
  <si>
    <t xml:space="preserve"> 9:24:25</t>
  </si>
  <si>
    <t xml:space="preserve"> 9:24:35</t>
  </si>
  <si>
    <t xml:space="preserve"> 9:24:45</t>
  </si>
  <si>
    <t xml:space="preserve"> 9:24:55</t>
  </si>
  <si>
    <t xml:space="preserve"> 9:25:5</t>
  </si>
  <si>
    <t xml:space="preserve"> 9:25:15</t>
  </si>
  <si>
    <t xml:space="preserve"> 9:25:25</t>
  </si>
  <si>
    <t xml:space="preserve"> 9:25:35</t>
  </si>
  <si>
    <t xml:space="preserve"> 9:25:45</t>
  </si>
  <si>
    <t xml:space="preserve"> 9:25:55</t>
  </si>
  <si>
    <t xml:space="preserve"> 9:26:5</t>
  </si>
  <si>
    <t xml:space="preserve"> 9:26:15</t>
  </si>
  <si>
    <t xml:space="preserve"> 9:26:25</t>
  </si>
  <si>
    <t xml:space="preserve"> 9:26:35</t>
  </si>
  <si>
    <t xml:space="preserve"> 9:26:45</t>
  </si>
  <si>
    <t xml:space="preserve"> 9:26:55</t>
  </si>
  <si>
    <t xml:space="preserve"> 9:27:5</t>
  </si>
  <si>
    <t xml:space="preserve"> 9:27:15</t>
  </si>
  <si>
    <t xml:space="preserve"> 9:27:25</t>
  </si>
  <si>
    <t xml:space="preserve"> 9:27:35</t>
  </si>
  <si>
    <t xml:space="preserve"> 9:27:45</t>
  </si>
  <si>
    <t xml:space="preserve"> 9:27:55</t>
  </si>
  <si>
    <t xml:space="preserve"> 9:28:5</t>
  </si>
  <si>
    <t xml:space="preserve"> 9:28:15</t>
  </si>
  <si>
    <t xml:space="preserve"> 9:28:25</t>
  </si>
  <si>
    <t xml:space="preserve"> 9:28:35</t>
  </si>
  <si>
    <t xml:space="preserve"> 9:28:45</t>
  </si>
  <si>
    <t xml:space="preserve"> 9:28:55</t>
  </si>
  <si>
    <t xml:space="preserve"> 9:29:5</t>
  </si>
  <si>
    <t xml:space="preserve"> 9:29:15</t>
  </si>
  <si>
    <t xml:space="preserve"> 9:29:25</t>
  </si>
  <si>
    <t xml:space="preserve"> 9:29:35</t>
  </si>
  <si>
    <t xml:space="preserve"> 9:29:45</t>
  </si>
  <si>
    <t xml:space="preserve"> 9:29:55</t>
  </si>
  <si>
    <t xml:space="preserve"> 9:30:5</t>
  </si>
  <si>
    <t xml:space="preserve"> 9:30:15</t>
  </si>
  <si>
    <t xml:space="preserve"> 9:30:25</t>
  </si>
  <si>
    <t xml:space="preserve"> 9:30:35</t>
  </si>
  <si>
    <t xml:space="preserve"> 9:30:45</t>
  </si>
  <si>
    <t xml:space="preserve"> 9:30:55</t>
  </si>
  <si>
    <t xml:space="preserve"> 9:31:5</t>
  </si>
  <si>
    <t xml:space="preserve"> 9:31:15</t>
  </si>
  <si>
    <t xml:space="preserve"> 9:31:25</t>
  </si>
  <si>
    <t xml:space="preserve"> 9:31:35</t>
  </si>
  <si>
    <t xml:space="preserve"> 9:31:45</t>
  </si>
  <si>
    <t xml:space="preserve"> 9:31:55</t>
  </si>
  <si>
    <t xml:space="preserve"> 9:32:5</t>
  </si>
  <si>
    <t xml:space="preserve"> 9:32:15</t>
  </si>
  <si>
    <t xml:space="preserve"> 9:32:25</t>
  </si>
  <si>
    <t xml:space="preserve"> 9:32:35</t>
  </si>
  <si>
    <t xml:space="preserve"> 9:32:45</t>
  </si>
  <si>
    <t xml:space="preserve"> 9:32:55</t>
  </si>
  <si>
    <t xml:space="preserve"> 9:33:5</t>
  </si>
  <si>
    <t xml:space="preserve"> 9:33:15</t>
  </si>
  <si>
    <t xml:space="preserve"> 9:33:25</t>
  </si>
  <si>
    <t xml:space="preserve"> 9:33:35</t>
  </si>
  <si>
    <t xml:space="preserve"> 9:33:45</t>
  </si>
  <si>
    <t xml:space="preserve"> 9:33:55</t>
  </si>
  <si>
    <t xml:space="preserve"> 9:34:5</t>
  </si>
  <si>
    <t xml:space="preserve"> 9:34:15</t>
  </si>
  <si>
    <t xml:space="preserve"> 9:34:25</t>
  </si>
  <si>
    <t xml:space="preserve"> 9:34:35</t>
  </si>
  <si>
    <t xml:space="preserve"> 9:34:45</t>
  </si>
  <si>
    <t xml:space="preserve"> 9:34:55</t>
  </si>
  <si>
    <t xml:space="preserve"> 9:35:5</t>
  </si>
  <si>
    <t xml:space="preserve"> 9:35:15</t>
  </si>
  <si>
    <t xml:space="preserve"> 9:35:25</t>
  </si>
  <si>
    <t xml:space="preserve"> 9:35:35</t>
  </si>
  <si>
    <t xml:space="preserve"> 9:35:45</t>
  </si>
  <si>
    <t xml:space="preserve"> 9:35:55</t>
  </si>
  <si>
    <t xml:space="preserve"> 9:36:5</t>
  </si>
  <si>
    <t xml:space="preserve"> 9:36:15</t>
  </si>
  <si>
    <t xml:space="preserve"> 9:36:25</t>
  </si>
  <si>
    <t xml:space="preserve"> 9:36:35</t>
  </si>
  <si>
    <t xml:space="preserve"> 9:36:45</t>
  </si>
  <si>
    <t xml:space="preserve"> 9:36:55</t>
  </si>
  <si>
    <t xml:space="preserve"> 9:37:5</t>
  </si>
  <si>
    <t xml:space="preserve"> 9:37:15</t>
  </si>
  <si>
    <t xml:space="preserve"> 9:37:25</t>
  </si>
  <si>
    <t xml:space="preserve"> 9:37:35</t>
  </si>
  <si>
    <t xml:space="preserve"> 9:37:45</t>
  </si>
  <si>
    <t xml:space="preserve"> 9:37:55</t>
  </si>
  <si>
    <t xml:space="preserve"> 9:38:5</t>
  </si>
  <si>
    <t xml:space="preserve"> 9:38:15</t>
  </si>
  <si>
    <t xml:space="preserve"> 9:38:25</t>
  </si>
  <si>
    <t xml:space="preserve"> 9:38:35</t>
  </si>
  <si>
    <t xml:space="preserve"> 9:38:45</t>
  </si>
  <si>
    <t xml:space="preserve"> 9:38:55</t>
  </si>
  <si>
    <t xml:space="preserve"> 9:39:5</t>
  </si>
  <si>
    <t xml:space="preserve"> 9:39:15</t>
  </si>
  <si>
    <t xml:space="preserve"> 9:39:25</t>
  </si>
  <si>
    <t xml:space="preserve"> 9:39:35</t>
  </si>
  <si>
    <t xml:space="preserve"> 9:39:45</t>
  </si>
  <si>
    <t xml:space="preserve"> 9:39:55</t>
  </si>
  <si>
    <t xml:space="preserve"> 9:40:5</t>
  </si>
  <si>
    <t xml:space="preserve"> 9:40:15</t>
  </si>
  <si>
    <t xml:space="preserve"> 9:40:25</t>
  </si>
  <si>
    <t xml:space="preserve"> 9:40:35</t>
  </si>
  <si>
    <t xml:space="preserve"> 9:40:45</t>
  </si>
  <si>
    <t xml:space="preserve"> 9:40:55</t>
  </si>
  <si>
    <t xml:space="preserve"> 9:41:5</t>
  </si>
  <si>
    <t xml:space="preserve"> 9:41:15</t>
  </si>
  <si>
    <t xml:space="preserve"> 9:41:25</t>
  </si>
  <si>
    <t xml:space="preserve"> 9:41:35</t>
  </si>
  <si>
    <t xml:space="preserve"> 9:41:45</t>
  </si>
  <si>
    <t xml:space="preserve"> 9:41:55</t>
  </si>
  <si>
    <t xml:space="preserve"> 9:42:5</t>
  </si>
  <si>
    <t xml:space="preserve"> 9:42:15</t>
  </si>
  <si>
    <t xml:space="preserve"> 9:42:25</t>
  </si>
  <si>
    <t xml:space="preserve"> 9:42:35</t>
  </si>
  <si>
    <t xml:space="preserve"> 9:42:45</t>
  </si>
  <si>
    <t xml:space="preserve"> 9:42:55</t>
  </si>
  <si>
    <t xml:space="preserve"> 9:43:5</t>
  </si>
  <si>
    <t xml:space="preserve"> 9:43:15</t>
  </si>
  <si>
    <t xml:space="preserve"> 9:43:25</t>
  </si>
  <si>
    <t xml:space="preserve"> 9:43:35</t>
  </si>
  <si>
    <t xml:space="preserve"> 9:43:45</t>
  </si>
  <si>
    <t xml:space="preserve"> 9:43:55</t>
  </si>
  <si>
    <t xml:space="preserve"> 9:44:5</t>
  </si>
  <si>
    <t xml:space="preserve"> 9:44:15</t>
  </si>
  <si>
    <t xml:space="preserve"> 9:44:25</t>
  </si>
  <si>
    <t xml:space="preserve"> 9:44:35</t>
  </si>
  <si>
    <t xml:space="preserve"> 9:44:45</t>
  </si>
  <si>
    <t xml:space="preserve"> 9:44:55</t>
  </si>
  <si>
    <t xml:space="preserve"> 9:45:5</t>
  </si>
  <si>
    <t xml:space="preserve"> 9:45:15</t>
  </si>
  <si>
    <t xml:space="preserve"> 9:45:25</t>
  </si>
  <si>
    <t xml:space="preserve"> 9:45:35</t>
  </si>
  <si>
    <t xml:space="preserve"> 9:45:45</t>
  </si>
  <si>
    <t xml:space="preserve"> 9:45:55</t>
  </si>
  <si>
    <t xml:space="preserve"> 9:46:5</t>
  </si>
  <si>
    <t xml:space="preserve"> 9:46:15</t>
  </si>
  <si>
    <t xml:space="preserve"> 9:46:25</t>
  </si>
  <si>
    <t xml:space="preserve"> 9:46:35</t>
  </si>
  <si>
    <t xml:space="preserve"> 9:46:45</t>
  </si>
  <si>
    <t xml:space="preserve"> 9:46:55</t>
  </si>
  <si>
    <t xml:space="preserve"> 9:47:5</t>
  </si>
  <si>
    <t xml:space="preserve"> 9:47:15</t>
  </si>
  <si>
    <t xml:space="preserve"> 9:47:25</t>
  </si>
  <si>
    <t xml:space="preserve"> 9:47:35</t>
  </si>
  <si>
    <t xml:space="preserve"> 9:47:45</t>
  </si>
  <si>
    <t xml:space="preserve"> 9:47:55</t>
  </si>
  <si>
    <t xml:space="preserve"> 9:48:5</t>
  </si>
  <si>
    <t xml:space="preserve"> 9:48:15</t>
  </si>
  <si>
    <t xml:space="preserve"> 9:48:25</t>
  </si>
  <si>
    <t xml:space="preserve"> 9:48:35</t>
  </si>
  <si>
    <t xml:space="preserve"> 9:48:45</t>
  </si>
  <si>
    <t xml:space="preserve"> 9:48:55</t>
  </si>
  <si>
    <t xml:space="preserve"> 9:49:5</t>
  </si>
  <si>
    <t xml:space="preserve"> 9:49:15</t>
  </si>
  <si>
    <t xml:space="preserve"> 9:49:25</t>
  </si>
  <si>
    <t xml:space="preserve"> 9:49:35</t>
  </si>
  <si>
    <t xml:space="preserve"> 9:49:45</t>
  </si>
  <si>
    <t xml:space="preserve"> 9:49:55</t>
  </si>
  <si>
    <t xml:space="preserve"> 9:50:5</t>
  </si>
  <si>
    <t xml:space="preserve"> 9:50:15</t>
  </si>
  <si>
    <t xml:space="preserve"> 9:50:25</t>
  </si>
  <si>
    <t xml:space="preserve"> 9:50:35</t>
  </si>
  <si>
    <t xml:space="preserve"> 9:50:45</t>
  </si>
  <si>
    <t xml:space="preserve"> 9:50:55</t>
  </si>
  <si>
    <t xml:space="preserve"> 9:51:5</t>
  </si>
  <si>
    <t xml:space="preserve"> 9:51:15</t>
  </si>
  <si>
    <t xml:space="preserve"> 9:51:25</t>
  </si>
  <si>
    <t xml:space="preserve"> 9:51:35</t>
  </si>
  <si>
    <t xml:space="preserve"> 9:51:45</t>
  </si>
  <si>
    <t xml:space="preserve"> 9:51:55</t>
  </si>
  <si>
    <t xml:space="preserve"> 9:52:5</t>
  </si>
  <si>
    <t xml:space="preserve"> 9:52:15</t>
  </si>
  <si>
    <t xml:space="preserve"> 9:52:25</t>
  </si>
  <si>
    <t xml:space="preserve"> 9:52:35</t>
  </si>
  <si>
    <t xml:space="preserve"> 9:52:45</t>
  </si>
  <si>
    <t xml:space="preserve"> 9:52:55</t>
  </si>
  <si>
    <t xml:space="preserve"> 9:53:5</t>
  </si>
  <si>
    <t xml:space="preserve"> 9:53:15</t>
  </si>
  <si>
    <t xml:space="preserve"> 9:53:25</t>
  </si>
  <si>
    <t xml:space="preserve"> 9:53:35</t>
  </si>
  <si>
    <t xml:space="preserve"> 9:53:45</t>
  </si>
  <si>
    <t xml:space="preserve"> 9:53:55</t>
  </si>
  <si>
    <t xml:space="preserve"> 9:54:5</t>
  </si>
  <si>
    <t xml:space="preserve"> 9:54:15</t>
  </si>
  <si>
    <t xml:space="preserve"> 9:54:25</t>
  </si>
  <si>
    <t xml:space="preserve"> 9:54:35</t>
  </si>
  <si>
    <t xml:space="preserve"> 9:54:45</t>
  </si>
  <si>
    <t xml:space="preserve"> 9:54:55</t>
  </si>
  <si>
    <t xml:space="preserve"> 9:55:5</t>
  </si>
  <si>
    <t xml:space="preserve"> 9:55:15</t>
  </si>
  <si>
    <t xml:space="preserve"> 9:55:25</t>
  </si>
  <si>
    <t xml:space="preserve"> 9:55:35</t>
  </si>
  <si>
    <t xml:space="preserve"> 9:55:45</t>
  </si>
  <si>
    <t xml:space="preserve"> 9:55:55</t>
  </si>
  <si>
    <t xml:space="preserve"> 9:56:5</t>
  </si>
  <si>
    <t xml:space="preserve"> 9:56:15</t>
  </si>
  <si>
    <t xml:space="preserve"> 9:56:25</t>
  </si>
  <si>
    <t xml:space="preserve"> 9:56:35</t>
  </si>
  <si>
    <t xml:space="preserve"> 9:56:45</t>
  </si>
  <si>
    <t xml:space="preserve"> 9:56:55</t>
  </si>
  <si>
    <t xml:space="preserve"> 9:57:5</t>
  </si>
  <si>
    <t xml:space="preserve"> 9:57:15</t>
  </si>
  <si>
    <t xml:space="preserve"> 9:57:25</t>
  </si>
  <si>
    <t xml:space="preserve"> 9:57:35</t>
  </si>
  <si>
    <t xml:space="preserve"> 9:57:45</t>
  </si>
  <si>
    <t xml:space="preserve"> 9:57:55</t>
  </si>
  <si>
    <t xml:space="preserve"> 9:58:5</t>
  </si>
  <si>
    <t xml:space="preserve"> 9:58:15</t>
  </si>
  <si>
    <t xml:space="preserve"> 9:58:25</t>
  </si>
  <si>
    <t xml:space="preserve"> 9:58:35</t>
  </si>
  <si>
    <t xml:space="preserve"> 9:58:45</t>
  </si>
  <si>
    <t xml:space="preserve"> 9:58:55</t>
  </si>
  <si>
    <t xml:space="preserve"> 9:59:5</t>
  </si>
  <si>
    <t xml:space="preserve"> 9:59:15</t>
  </si>
  <si>
    <t xml:space="preserve"> 9:59:25</t>
  </si>
  <si>
    <t xml:space="preserve"> 9:59:35</t>
  </si>
  <si>
    <t xml:space="preserve"> 9:59:45</t>
  </si>
  <si>
    <t xml:space="preserve"> 9:59:55</t>
  </si>
  <si>
    <t xml:space="preserve"> 10:0:5</t>
  </si>
  <si>
    <t xml:space="preserve"> 10:0:15</t>
  </si>
  <si>
    <t xml:space="preserve"> 10:0:25</t>
  </si>
  <si>
    <t xml:space="preserve"> 10:0:35</t>
  </si>
  <si>
    <t xml:space="preserve"> 10:0:45</t>
  </si>
  <si>
    <t xml:space="preserve"> 10:0:55</t>
  </si>
  <si>
    <t xml:space="preserve"> 10:1:5</t>
  </si>
  <si>
    <t xml:space="preserve"> 10:1:15</t>
  </si>
  <si>
    <t xml:space="preserve"> 10:1:25</t>
  </si>
  <si>
    <t xml:space="preserve"> 10:1:35</t>
  </si>
  <si>
    <t xml:space="preserve"> 10:1:45</t>
  </si>
  <si>
    <t xml:space="preserve"> 10:1:55</t>
  </si>
  <si>
    <t xml:space="preserve"> 10:2:5</t>
  </si>
  <si>
    <t xml:space="preserve"> 10:2:15</t>
  </si>
  <si>
    <t xml:space="preserve"> 10:2:25</t>
  </si>
  <si>
    <t xml:space="preserve"> 10:2:35</t>
  </si>
  <si>
    <t xml:space="preserve"> 10:2:45</t>
  </si>
  <si>
    <t xml:space="preserve"> 10:2:55</t>
  </si>
  <si>
    <t xml:space="preserve"> 10:3:5</t>
  </si>
  <si>
    <t xml:space="preserve"> 10:3:15</t>
  </si>
  <si>
    <t xml:space="preserve"> 10:3:25</t>
  </si>
  <si>
    <t xml:space="preserve"> 10:3:35</t>
  </si>
  <si>
    <t xml:space="preserve"> 10:3:45</t>
  </si>
  <si>
    <t xml:space="preserve"> 10:3:55</t>
  </si>
  <si>
    <t xml:space="preserve"> 10:4:5</t>
  </si>
  <si>
    <t xml:space="preserve"> 10:4:15</t>
  </si>
  <si>
    <t xml:space="preserve"> 10:4:25</t>
  </si>
  <si>
    <t xml:space="preserve"> 10:4:35</t>
  </si>
  <si>
    <t xml:space="preserve"> 10:4:45</t>
  </si>
  <si>
    <t xml:space="preserve"> 10:4:55</t>
  </si>
  <si>
    <t xml:space="preserve"> 10:5:5</t>
  </si>
  <si>
    <t xml:space="preserve"> 10:5:15</t>
  </si>
  <si>
    <t xml:space="preserve"> 10:5:25</t>
  </si>
  <si>
    <t xml:space="preserve"> 10:5:35</t>
  </si>
  <si>
    <t xml:space="preserve"> 10:5:45</t>
  </si>
  <si>
    <t xml:space="preserve"> 10:5:55</t>
  </si>
  <si>
    <t xml:space="preserve"> 10:6:5</t>
  </si>
  <si>
    <t xml:space="preserve"> 10:6:15</t>
  </si>
  <si>
    <t xml:space="preserve"> 10:6:25</t>
  </si>
  <si>
    <t xml:space="preserve"> 10:6:35</t>
  </si>
  <si>
    <t xml:space="preserve"> 10:6:45</t>
  </si>
  <si>
    <t xml:space="preserve"> 10:6:55</t>
  </si>
  <si>
    <t xml:space="preserve"> 10:7:5</t>
  </si>
  <si>
    <t xml:space="preserve"> 10:7:15</t>
  </si>
  <si>
    <t xml:space="preserve"> 10:7:25</t>
  </si>
  <si>
    <t xml:space="preserve"> 10:7:35</t>
  </si>
  <si>
    <t xml:space="preserve"> 10:7:45</t>
  </si>
  <si>
    <t xml:space="preserve"> 10:7:55</t>
  </si>
  <si>
    <t xml:space="preserve"> 10:8:5</t>
  </si>
  <si>
    <t xml:space="preserve"> 10:8:15</t>
  </si>
  <si>
    <t xml:space="preserve"> 10:8:25</t>
  </si>
  <si>
    <t xml:space="preserve"> 10:8:35</t>
  </si>
  <si>
    <t xml:space="preserve"> 10:8:45</t>
  </si>
  <si>
    <t xml:space="preserve"> 10:8:55</t>
  </si>
  <si>
    <t xml:space="preserve"> 10:9:5</t>
  </si>
  <si>
    <t xml:space="preserve"> 10:9:15</t>
  </si>
  <si>
    <t xml:space="preserve"> 10:9:25</t>
  </si>
  <si>
    <t xml:space="preserve"> 10:9:35</t>
  </si>
  <si>
    <t xml:space="preserve"> 10:9:45</t>
  </si>
  <si>
    <t xml:space="preserve"> 10:9:55</t>
  </si>
  <si>
    <t xml:space="preserve"> 10:10:5</t>
  </si>
  <si>
    <t xml:space="preserve"> 10:10:15</t>
  </si>
  <si>
    <t xml:space="preserve"> 10:10:25</t>
  </si>
  <si>
    <t xml:space="preserve"> 10:10:35</t>
  </si>
  <si>
    <t xml:space="preserve"> 10:10:45</t>
  </si>
  <si>
    <t xml:space="preserve"> 10:10:55</t>
  </si>
  <si>
    <t xml:space="preserve"> 10:11:5</t>
  </si>
  <si>
    <t xml:space="preserve"> 10:11:15</t>
  </si>
  <si>
    <t xml:space="preserve"> 10:11:25</t>
  </si>
  <si>
    <t xml:space="preserve"> 10:11:35</t>
  </si>
  <si>
    <t xml:space="preserve"> 10:11:45</t>
  </si>
  <si>
    <t xml:space="preserve"> 10:11:55</t>
  </si>
  <si>
    <t xml:space="preserve"> 10:12:5</t>
  </si>
  <si>
    <t xml:space="preserve"> 10:12:15</t>
  </si>
  <si>
    <t xml:space="preserve"> 10:12:25</t>
  </si>
  <si>
    <t xml:space="preserve"> 10:12:35</t>
  </si>
  <si>
    <t xml:space="preserve"> 10:12:45</t>
  </si>
  <si>
    <t xml:space="preserve"> 10:12:55</t>
  </si>
  <si>
    <t xml:space="preserve"> 10:13:5</t>
  </si>
  <si>
    <t xml:space="preserve"> 10:13:15</t>
  </si>
  <si>
    <t xml:space="preserve"> 10:13:25</t>
  </si>
  <si>
    <t xml:space="preserve"> 10:13:35</t>
  </si>
  <si>
    <t xml:space="preserve"> 10:13:45</t>
  </si>
  <si>
    <t xml:space="preserve"> 10:13:55</t>
  </si>
  <si>
    <t xml:space="preserve"> 10:14:5</t>
  </si>
  <si>
    <t xml:space="preserve"> 10:14:15</t>
  </si>
  <si>
    <t xml:space="preserve"> 10:14:25</t>
  </si>
  <si>
    <t xml:space="preserve"> 10:14:35</t>
  </si>
  <si>
    <t xml:space="preserve"> 10:14:45</t>
  </si>
  <si>
    <t xml:space="preserve"> 10:14:55</t>
  </si>
  <si>
    <t xml:space="preserve"> 10:15:5</t>
  </si>
  <si>
    <t xml:space="preserve"> 10:15:15</t>
  </si>
  <si>
    <t xml:space="preserve"> 10:15:25</t>
  </si>
  <si>
    <t xml:space="preserve"> 10:15:35</t>
  </si>
  <si>
    <t xml:space="preserve"> 10:15:45</t>
  </si>
  <si>
    <t xml:space="preserve"> 10:15:55</t>
  </si>
  <si>
    <t xml:space="preserve"> 10:16:5</t>
  </si>
  <si>
    <t xml:space="preserve"> 10:16:15</t>
  </si>
  <si>
    <t xml:space="preserve"> 10:16:25</t>
  </si>
  <si>
    <t xml:space="preserve"> 10:16:35</t>
  </si>
  <si>
    <t xml:space="preserve"> 10:16:45</t>
  </si>
  <si>
    <t xml:space="preserve"> 10:16:55</t>
  </si>
  <si>
    <t xml:space="preserve"> 10:17:5</t>
  </si>
  <si>
    <t xml:space="preserve"> 10:17:15</t>
  </si>
  <si>
    <t xml:space="preserve"> 10:17:25</t>
  </si>
  <si>
    <t xml:space="preserve"> 10:17:35</t>
  </si>
  <si>
    <t xml:space="preserve"> 10:17:45</t>
  </si>
  <si>
    <t xml:space="preserve"> 10:17:55</t>
  </si>
  <si>
    <t xml:space="preserve"> 10:18:5</t>
  </si>
  <si>
    <t xml:space="preserve"> 10:18:15</t>
  </si>
  <si>
    <t xml:space="preserve"> 10:18:25</t>
  </si>
  <si>
    <t xml:space="preserve"> 10:18:35</t>
  </si>
  <si>
    <t xml:space="preserve"> 10:18:45</t>
  </si>
  <si>
    <t xml:space="preserve"> 10:18:55</t>
  </si>
  <si>
    <t xml:space="preserve"> 10:19:5</t>
  </si>
  <si>
    <t xml:space="preserve"> 10:19:15</t>
  </si>
  <si>
    <t xml:space="preserve"> 10:19:25</t>
  </si>
  <si>
    <t xml:space="preserve"> 10:19:35</t>
  </si>
  <si>
    <t xml:space="preserve"> 10:19:45</t>
  </si>
  <si>
    <t xml:space="preserve"> 10:19:55</t>
  </si>
  <si>
    <t xml:space="preserve"> 10:20:5</t>
  </si>
  <si>
    <t xml:space="preserve"> 10:20:15</t>
  </si>
  <si>
    <t xml:space="preserve"> 10:20:25</t>
  </si>
  <si>
    <t xml:space="preserve"> 10:20:35</t>
  </si>
  <si>
    <t xml:space="preserve"> 10:20:45</t>
  </si>
  <si>
    <t xml:space="preserve"> 10:20:55</t>
  </si>
  <si>
    <t xml:space="preserve"> 10:21:5</t>
  </si>
  <si>
    <t xml:space="preserve"> 10:21:15</t>
  </si>
  <si>
    <t xml:space="preserve"> 10:21:25</t>
  </si>
  <si>
    <t xml:space="preserve"> 10:21:35</t>
  </si>
  <si>
    <t xml:space="preserve"> 10:21:45</t>
  </si>
  <si>
    <t xml:space="preserve"> 10:21:55</t>
  </si>
  <si>
    <t xml:space="preserve"> 10:22:5</t>
  </si>
  <si>
    <t xml:space="preserve"> 10:22:15</t>
  </si>
  <si>
    <t xml:space="preserve"> 10:22:25</t>
  </si>
  <si>
    <t xml:space="preserve"> 10:22:35</t>
  </si>
  <si>
    <t xml:space="preserve"> 10:22:45</t>
  </si>
  <si>
    <t xml:space="preserve"> 10:22:55</t>
  </si>
  <si>
    <t xml:space="preserve"> 10:23:5</t>
  </si>
  <si>
    <t xml:space="preserve"> 10:23:15</t>
  </si>
  <si>
    <t xml:space="preserve"> 10:23:25</t>
  </si>
  <si>
    <t xml:space="preserve"> 10:23:35</t>
  </si>
  <si>
    <t xml:space="preserve"> 10:23:45</t>
  </si>
  <si>
    <t xml:space="preserve"> 10:23:55</t>
  </si>
  <si>
    <t xml:space="preserve"> 10:24:5</t>
  </si>
  <si>
    <t xml:space="preserve"> 10:24:15</t>
  </si>
  <si>
    <t xml:space="preserve"> 10:24:25</t>
  </si>
  <si>
    <t xml:space="preserve"> 10:24:35</t>
  </si>
  <si>
    <t xml:space="preserve"> 10:24:45</t>
  </si>
  <si>
    <t xml:space="preserve"> 10:24:55</t>
  </si>
  <si>
    <t xml:space="preserve"> 10:25:5</t>
  </si>
  <si>
    <t xml:space="preserve"> 10:25:15</t>
  </si>
  <si>
    <t xml:space="preserve"> 10:25:25</t>
  </si>
  <si>
    <t xml:space="preserve"> 10:25:35</t>
  </si>
  <si>
    <t xml:space="preserve"> 10:25:45</t>
  </si>
  <si>
    <t xml:space="preserve"> 10:25:55</t>
  </si>
  <si>
    <t xml:space="preserve"> 10:26:5</t>
  </si>
  <si>
    <t xml:space="preserve"> 10:26:15</t>
  </si>
  <si>
    <t xml:space="preserve"> 10:26:25</t>
  </si>
  <si>
    <t xml:space="preserve"> 10:26:35</t>
  </si>
  <si>
    <t xml:space="preserve"> 10:26:45</t>
  </si>
  <si>
    <t xml:space="preserve"> 10:26:55</t>
  </si>
  <si>
    <t xml:space="preserve"> 10:27:5</t>
  </si>
  <si>
    <t xml:space="preserve"> 10:27:15</t>
  </si>
  <si>
    <t xml:space="preserve"> 10:27:25</t>
  </si>
  <si>
    <t xml:space="preserve"> 10:27:35</t>
  </si>
  <si>
    <t xml:space="preserve"> 10:27:45</t>
  </si>
  <si>
    <t xml:space="preserve"> 10:27:55</t>
  </si>
  <si>
    <t xml:space="preserve"> 10:28:5</t>
  </si>
  <si>
    <t xml:space="preserve"> 10:28:15</t>
  </si>
  <si>
    <t xml:space="preserve"> 10:28:25</t>
  </si>
  <si>
    <t xml:space="preserve"> 10:28:35</t>
  </si>
  <si>
    <t xml:space="preserve"> 10:28:45</t>
  </si>
  <si>
    <t xml:space="preserve"> 10:28:55</t>
  </si>
  <si>
    <t xml:space="preserve"> 10:29:5</t>
  </si>
  <si>
    <t xml:space="preserve"> 10:29:15</t>
  </si>
  <si>
    <t xml:space="preserve"> 10:29:25</t>
  </si>
  <si>
    <t xml:space="preserve"> 10:29:35</t>
  </si>
  <si>
    <t xml:space="preserve"> 10:29:45</t>
  </si>
  <si>
    <t xml:space="preserve"> 10:29:55</t>
  </si>
  <si>
    <t xml:space="preserve"> 10:30:5</t>
  </si>
  <si>
    <t xml:space="preserve"> 10:30:15</t>
  </si>
  <si>
    <t xml:space="preserve"> 10:30:25</t>
  </si>
  <si>
    <t xml:space="preserve"> 10:30:35</t>
  </si>
  <si>
    <t xml:space="preserve"> 10:30:45</t>
  </si>
  <si>
    <t xml:space="preserve"> 10:30:55</t>
  </si>
  <si>
    <t xml:space="preserve"> 10:31:5</t>
  </si>
  <si>
    <t xml:space="preserve"> 10:31:15</t>
  </si>
  <si>
    <t xml:space="preserve"> 10:31:25</t>
  </si>
  <si>
    <t xml:space="preserve"> 10:31:35</t>
  </si>
  <si>
    <t xml:space="preserve"> 10:31:45</t>
  </si>
  <si>
    <t xml:space="preserve"> 10:31:55</t>
  </si>
  <si>
    <t xml:space="preserve"> 10:32:5</t>
  </si>
  <si>
    <t xml:space="preserve"> 10:32:15</t>
  </si>
  <si>
    <t xml:space="preserve"> 10:32:25</t>
  </si>
  <si>
    <t xml:space="preserve"> 10:32:35</t>
  </si>
  <si>
    <t xml:space="preserve"> 10:32:45</t>
  </si>
  <si>
    <t xml:space="preserve"> 10:32:55</t>
  </si>
  <si>
    <t xml:space="preserve"> 10:33:5</t>
  </si>
  <si>
    <t xml:space="preserve"> 10:33:15</t>
  </si>
  <si>
    <t xml:space="preserve"> 10:33:25</t>
  </si>
  <si>
    <t xml:space="preserve"> 10:33:35</t>
  </si>
  <si>
    <t xml:space="preserve"> 10:33:45</t>
  </si>
  <si>
    <t xml:space="preserve"> 10:33:55</t>
  </si>
  <si>
    <t xml:space="preserve"> 10:34:5</t>
  </si>
  <si>
    <t xml:space="preserve"> 10:34:15</t>
  </si>
  <si>
    <t xml:space="preserve"> 10:34:25</t>
  </si>
  <si>
    <t xml:space="preserve"> 10:34:35</t>
  </si>
  <si>
    <t xml:space="preserve"> 10:34:45</t>
  </si>
  <si>
    <t xml:space="preserve"> 10:34:55</t>
  </si>
  <si>
    <t xml:space="preserve"> 10:35:5</t>
  </si>
  <si>
    <t xml:space="preserve"> 10:35:15</t>
  </si>
  <si>
    <t xml:space="preserve"> 10:35:25</t>
  </si>
  <si>
    <t xml:space="preserve"> 10:35:35</t>
  </si>
  <si>
    <t xml:space="preserve"> 10:35:45</t>
  </si>
  <si>
    <t xml:space="preserve"> 10:35:55</t>
  </si>
  <si>
    <t xml:space="preserve"> 10:36:5</t>
  </si>
  <si>
    <t xml:space="preserve"> 10:36:15</t>
  </si>
  <si>
    <t xml:space="preserve"> 10:36:25</t>
  </si>
  <si>
    <t xml:space="preserve"> 10:36:35</t>
  </si>
  <si>
    <t xml:space="preserve"> 10:36:45</t>
  </si>
  <si>
    <t xml:space="preserve"> 10:36:55</t>
  </si>
  <si>
    <t xml:space="preserve"> 10:37:5</t>
  </si>
  <si>
    <t xml:space="preserve"> 10:37:15</t>
  </si>
  <si>
    <t xml:space="preserve"> 10:37:25</t>
  </si>
  <si>
    <t xml:space="preserve"> 10:37:35</t>
  </si>
  <si>
    <t xml:space="preserve"> 10:37:45</t>
  </si>
  <si>
    <t xml:space="preserve"> 10:37:55</t>
  </si>
  <si>
    <t xml:space="preserve"> 10:38:5</t>
  </si>
  <si>
    <t xml:space="preserve"> 10:38:15</t>
  </si>
  <si>
    <t xml:space="preserve"> 10:38:25</t>
  </si>
  <si>
    <t xml:space="preserve"> 10:38:35</t>
  </si>
  <si>
    <t xml:space="preserve"> 10:38:45</t>
  </si>
  <si>
    <t xml:space="preserve"> 10:38:55</t>
  </si>
  <si>
    <t xml:space="preserve"> 10:39:5</t>
  </si>
  <si>
    <t xml:space="preserve"> 10:39:15</t>
  </si>
  <si>
    <t xml:space="preserve"> 10:39:25</t>
  </si>
  <si>
    <t xml:space="preserve"> 10:39:35</t>
  </si>
  <si>
    <t xml:space="preserve"> 10:39:45</t>
  </si>
  <si>
    <t xml:space="preserve"> 10:39:55</t>
  </si>
  <si>
    <t xml:space="preserve"> 10:40:5</t>
  </si>
  <si>
    <t xml:space="preserve"> 10:40:15</t>
  </si>
  <si>
    <t xml:space="preserve"> 10:40:25</t>
  </si>
  <si>
    <t xml:space="preserve"> 10:40:35</t>
  </si>
  <si>
    <t xml:space="preserve"> 10:40:45</t>
  </si>
  <si>
    <t xml:space="preserve"> 10:40:55</t>
  </si>
  <si>
    <t xml:space="preserve"> 10:41:5</t>
  </si>
  <si>
    <t xml:space="preserve"> 10:41:15</t>
  </si>
  <si>
    <t xml:space="preserve"> 10:41:25</t>
  </si>
  <si>
    <t xml:space="preserve"> 10:41:35</t>
  </si>
  <si>
    <t xml:space="preserve"> 10:41:45</t>
  </si>
  <si>
    <t xml:space="preserve"> 10:41:55</t>
  </si>
  <si>
    <t xml:space="preserve"> 10:42:5</t>
  </si>
  <si>
    <t xml:space="preserve"> 10:42:15</t>
  </si>
  <si>
    <t xml:space="preserve"> 10:42:25</t>
  </si>
  <si>
    <t xml:space="preserve"> 10:42:35</t>
  </si>
  <si>
    <t xml:space="preserve"> 10:42:45</t>
  </si>
  <si>
    <t xml:space="preserve"> 10:42:55</t>
  </si>
  <si>
    <t xml:space="preserve"> 10:43:5</t>
  </si>
  <si>
    <t xml:space="preserve"> 10:43:15</t>
  </si>
  <si>
    <t xml:space="preserve"> 10:43:25</t>
  </si>
  <si>
    <t xml:space="preserve"> 10:43:35</t>
  </si>
  <si>
    <t xml:space="preserve"> 10:43:45</t>
  </si>
  <si>
    <t xml:space="preserve"> 10:43:55</t>
  </si>
  <si>
    <t xml:space="preserve"> 10:44:5</t>
  </si>
  <si>
    <t xml:space="preserve"> 10:44:15</t>
  </si>
  <si>
    <t xml:space="preserve"> 10:44:25</t>
  </si>
  <si>
    <t xml:space="preserve"> 10:44:35</t>
  </si>
  <si>
    <t xml:space="preserve"> 10:44:45</t>
  </si>
  <si>
    <t xml:space="preserve"> 10:44:55</t>
  </si>
  <si>
    <t xml:space="preserve"> 10:45:5</t>
  </si>
  <si>
    <t xml:space="preserve"> 10:45:15</t>
  </si>
  <si>
    <t xml:space="preserve"> 10:45:25</t>
  </si>
  <si>
    <t xml:space="preserve"> 10:45:35</t>
  </si>
  <si>
    <t xml:space="preserve"> 10:45:45</t>
  </si>
  <si>
    <t xml:space="preserve"> 10:45:55</t>
  </si>
  <si>
    <t xml:space="preserve"> 10:46:5</t>
  </si>
  <si>
    <t xml:space="preserve"> 10:46:15</t>
  </si>
  <si>
    <t xml:space="preserve"> 10:46:25</t>
  </si>
  <si>
    <t xml:space="preserve"> 10:46:35</t>
  </si>
  <si>
    <t xml:space="preserve"> 10:46:45</t>
  </si>
  <si>
    <t xml:space="preserve"> 10:46:55</t>
  </si>
  <si>
    <t xml:space="preserve"> 10:47:5</t>
  </si>
  <si>
    <t xml:space="preserve"> 10:47:15</t>
  </si>
  <si>
    <t xml:space="preserve"> 10:47:25</t>
  </si>
  <si>
    <t xml:space="preserve"> 10:47:35</t>
  </si>
  <si>
    <t xml:space="preserve"> 10:47:45</t>
  </si>
  <si>
    <t xml:space="preserve"> 10:47:55</t>
  </si>
  <si>
    <t xml:space="preserve"> 10:48:5</t>
  </si>
  <si>
    <t xml:space="preserve"> 10:48:15</t>
  </si>
  <si>
    <t xml:space="preserve"> 10:48:25</t>
  </si>
  <si>
    <t xml:space="preserve"> 10:48:35</t>
  </si>
  <si>
    <t xml:space="preserve"> 10:48:45</t>
  </si>
  <si>
    <t xml:space="preserve"> 10:48:55</t>
  </si>
  <si>
    <t xml:space="preserve"> 10:49:5</t>
  </si>
  <si>
    <t xml:space="preserve"> 10:49:15</t>
  </si>
  <si>
    <t xml:space="preserve"> 10:49:25</t>
  </si>
  <si>
    <t xml:space="preserve"> 10:49:35</t>
  </si>
  <si>
    <t xml:space="preserve"> 10:49:45</t>
  </si>
  <si>
    <t xml:space="preserve"> 10:49:55</t>
  </si>
  <si>
    <t xml:space="preserve"> 10:50:5</t>
  </si>
  <si>
    <t xml:space="preserve"> 10:50:15</t>
  </si>
  <si>
    <t xml:space="preserve"> 10:50:25</t>
  </si>
  <si>
    <t xml:space="preserve"> 10:50:35</t>
  </si>
  <si>
    <t xml:space="preserve"> 10:50:45</t>
  </si>
  <si>
    <t xml:space="preserve"> 10:50:55</t>
  </si>
  <si>
    <t xml:space="preserve"> 10:51:5</t>
  </si>
  <si>
    <t xml:space="preserve"> 10:51:15</t>
  </si>
  <si>
    <t xml:space="preserve"> 10:51:25</t>
  </si>
  <si>
    <t xml:space="preserve"> 10:51:35</t>
  </si>
  <si>
    <t xml:space="preserve"> 10:51:45</t>
  </si>
  <si>
    <t xml:space="preserve"> 10:51:55</t>
  </si>
  <si>
    <t xml:space="preserve"> 10:52:5</t>
  </si>
  <si>
    <t xml:space="preserve"> 10:52:15</t>
  </si>
  <si>
    <t xml:space="preserve"> 10:52:25</t>
  </si>
  <si>
    <t xml:space="preserve"> 10:52:35</t>
  </si>
  <si>
    <t xml:space="preserve"> 10:52:45</t>
  </si>
  <si>
    <t xml:space="preserve"> 10:52:55</t>
  </si>
  <si>
    <t xml:space="preserve"> 10:53:5</t>
  </si>
  <si>
    <t xml:space="preserve"> 10:53:15</t>
  </si>
  <si>
    <t xml:space="preserve"> 10:53:25</t>
  </si>
  <si>
    <t xml:space="preserve"> 10:53:35</t>
  </si>
  <si>
    <t xml:space="preserve"> 10:53:45</t>
  </si>
  <si>
    <t xml:space="preserve"> 10:53:55</t>
  </si>
  <si>
    <t xml:space="preserve"> 10:54:5</t>
  </si>
  <si>
    <t xml:space="preserve"> 10:54:15</t>
  </si>
  <si>
    <t xml:space="preserve"> 10:54:25</t>
  </si>
  <si>
    <t xml:space="preserve"> 10:54:35</t>
  </si>
  <si>
    <t xml:space="preserve"> 10:54:45</t>
  </si>
  <si>
    <t xml:space="preserve"> 10:54:55</t>
  </si>
  <si>
    <t xml:space="preserve"> 10:55:5</t>
  </si>
  <si>
    <t xml:space="preserve"> 10:55:15</t>
  </si>
  <si>
    <t xml:space="preserve"> 10:55:25</t>
  </si>
  <si>
    <t xml:space="preserve"> 10:55:35</t>
  </si>
  <si>
    <t xml:space="preserve"> 10:55:45</t>
  </si>
  <si>
    <t xml:space="preserve"> 10:55:55</t>
  </si>
  <si>
    <t xml:space="preserve"> 10:56:5</t>
  </si>
  <si>
    <t xml:space="preserve"> 10:56:15</t>
  </si>
  <si>
    <t xml:space="preserve"> 10:56:25</t>
  </si>
  <si>
    <t xml:space="preserve"> 10:56:35</t>
  </si>
  <si>
    <t xml:space="preserve"> 10:56:45</t>
  </si>
  <si>
    <t xml:space="preserve"> 10:56:55</t>
  </si>
  <si>
    <t xml:space="preserve"> 10:57:5</t>
  </si>
  <si>
    <t xml:space="preserve"> 10:57:15</t>
  </si>
  <si>
    <t xml:space="preserve"> 10:57:25</t>
  </si>
  <si>
    <t xml:space="preserve"> 10:57:35</t>
  </si>
  <si>
    <t xml:space="preserve"> 10:57:45</t>
  </si>
  <si>
    <t xml:space="preserve"> 10:57:55</t>
  </si>
  <si>
    <t xml:space="preserve"> 10:58:5</t>
  </si>
  <si>
    <t xml:space="preserve"> 10:58:15</t>
  </si>
  <si>
    <t xml:space="preserve"> 10:58:25</t>
  </si>
  <si>
    <t xml:space="preserve"> 10:58:35</t>
  </si>
  <si>
    <t xml:space="preserve"> 10:58:45</t>
  </si>
  <si>
    <t xml:space="preserve"> 10:58:55</t>
  </si>
  <si>
    <t xml:space="preserve"> 10:59:5</t>
  </si>
  <si>
    <t xml:space="preserve"> 10:59:15</t>
  </si>
  <si>
    <t xml:space="preserve"> 10:59:25</t>
  </si>
  <si>
    <t xml:space="preserve"> 10:59:35</t>
  </si>
  <si>
    <t xml:space="preserve"> 10:59:45</t>
  </si>
  <si>
    <t xml:space="preserve"> 10:59:55</t>
  </si>
  <si>
    <t xml:space="preserve"> 11:0:5</t>
  </si>
  <si>
    <t xml:space="preserve"> 11:0:15</t>
  </si>
  <si>
    <t xml:space="preserve"> 11:0:25</t>
  </si>
  <si>
    <t xml:space="preserve"> 11:0:35</t>
  </si>
  <si>
    <t xml:space="preserve"> 11:0:45</t>
  </si>
  <si>
    <t xml:space="preserve"> 11:0:55</t>
  </si>
  <si>
    <t xml:space="preserve"> 11:1:5</t>
  </si>
  <si>
    <t xml:space="preserve"> 11:1:15</t>
  </si>
  <si>
    <t xml:space="preserve"> 11:1:25</t>
  </si>
  <si>
    <t xml:space="preserve"> 11:1:35</t>
  </si>
  <si>
    <t xml:space="preserve"> 11:1:45</t>
  </si>
  <si>
    <t xml:space="preserve"> 11:1:55</t>
  </si>
  <si>
    <t xml:space="preserve"> 11:2:5</t>
  </si>
  <si>
    <t xml:space="preserve"> 11:2:15</t>
  </si>
  <si>
    <t xml:space="preserve"> 11:2:25</t>
  </si>
  <si>
    <t xml:space="preserve"> 11:2:35</t>
  </si>
  <si>
    <t xml:space="preserve"> 11:2:45</t>
  </si>
  <si>
    <t xml:space="preserve"> 11:2:55</t>
  </si>
  <si>
    <t xml:space="preserve"> 11:3:5</t>
  </si>
  <si>
    <t xml:space="preserve"> 11:3:15</t>
  </si>
  <si>
    <t xml:space="preserve"> 11:3:25</t>
  </si>
  <si>
    <t xml:space="preserve"> 11:3:35</t>
  </si>
  <si>
    <t xml:space="preserve"> 11:3:45</t>
  </si>
  <si>
    <t xml:space="preserve"> 11:3:55</t>
  </si>
  <si>
    <t xml:space="preserve"> 11:4:5</t>
  </si>
  <si>
    <t xml:space="preserve"> 11:4:15</t>
  </si>
  <si>
    <t xml:space="preserve"> 11:4:25</t>
  </si>
  <si>
    <t xml:space="preserve"> 11:4:35</t>
  </si>
  <si>
    <t xml:space="preserve"> 11:4:45</t>
  </si>
  <si>
    <t xml:space="preserve"> 11:4:55</t>
  </si>
  <si>
    <t xml:space="preserve"> 11:5:5</t>
  </si>
  <si>
    <t xml:space="preserve"> 11:5:15</t>
  </si>
  <si>
    <t xml:space="preserve"> 11:5:25</t>
  </si>
  <si>
    <t xml:space="preserve"> 11:5:35</t>
  </si>
  <si>
    <t xml:space="preserve"> 11:5:45</t>
  </si>
  <si>
    <t xml:space="preserve"> 11:5:55</t>
  </si>
  <si>
    <t xml:space="preserve"> 11:6:5</t>
  </si>
  <si>
    <t xml:space="preserve"> 11:6:15</t>
  </si>
  <si>
    <t xml:space="preserve"> 11:6:25</t>
  </si>
  <si>
    <t xml:space="preserve"> 11:6:35</t>
  </si>
  <si>
    <t xml:space="preserve"> 11:6:45</t>
  </si>
  <si>
    <t xml:space="preserve"> 11:6:55</t>
  </si>
  <si>
    <t xml:space="preserve"> 11:7:5</t>
  </si>
  <si>
    <t xml:space="preserve"> 11:7:15</t>
  </si>
  <si>
    <t xml:space="preserve"> 11:7:25</t>
  </si>
  <si>
    <t xml:space="preserve"> 11:7:35</t>
  </si>
  <si>
    <t xml:space="preserve"> 11:7:45</t>
  </si>
  <si>
    <t xml:space="preserve"> 11:7:55</t>
  </si>
  <si>
    <t xml:space="preserve"> 11:8:5</t>
  </si>
  <si>
    <t xml:space="preserve"> 11:8:15</t>
  </si>
  <si>
    <t xml:space="preserve"> 11:8:25</t>
  </si>
  <si>
    <t xml:space="preserve"> 11:8:35</t>
  </si>
  <si>
    <t xml:space="preserve"> 11:8:45</t>
  </si>
  <si>
    <t xml:space="preserve"> 11:8:55</t>
  </si>
  <si>
    <t xml:space="preserve"> 11:9:5</t>
  </si>
  <si>
    <t xml:space="preserve"> 11:9:15</t>
  </si>
  <si>
    <t xml:space="preserve"> 11:9:25</t>
  </si>
  <si>
    <t xml:space="preserve"> 11:9:35</t>
  </si>
  <si>
    <t xml:space="preserve"> 11:9:45</t>
  </si>
  <si>
    <t xml:space="preserve"> 11:9:55</t>
  </si>
  <si>
    <t xml:space="preserve"> 11:10:5</t>
  </si>
  <si>
    <t xml:space="preserve"> 11:10:15</t>
  </si>
  <si>
    <t xml:space="preserve"> 11:10:25</t>
  </si>
  <si>
    <t xml:space="preserve"> 11:10:35</t>
  </si>
  <si>
    <t xml:space="preserve"> 11:10:45</t>
  </si>
  <si>
    <t xml:space="preserve"> 11:10:55</t>
  </si>
  <si>
    <t xml:space="preserve"> 11:11:5</t>
  </si>
  <si>
    <t xml:space="preserve"> 11:11:15</t>
  </si>
  <si>
    <t xml:space="preserve"> 11:11:25</t>
  </si>
  <si>
    <t xml:space="preserve"> 11:11:35</t>
  </si>
  <si>
    <t xml:space="preserve"> 11:11:45</t>
  </si>
  <si>
    <t xml:space="preserve"> 11:11:55</t>
  </si>
  <si>
    <t xml:space="preserve"> 11:12:5</t>
  </si>
  <si>
    <t xml:space="preserve"> 11:12:15</t>
  </si>
  <si>
    <t xml:space="preserve"> 11:12:25</t>
  </si>
  <si>
    <t xml:space="preserve"> 11:12:35</t>
  </si>
  <si>
    <t xml:space="preserve"> 11:12:45</t>
  </si>
  <si>
    <t xml:space="preserve"> 11:12:55</t>
  </si>
  <si>
    <t xml:space="preserve"> 11:13:5</t>
  </si>
  <si>
    <t xml:space="preserve"> 11:13:15</t>
  </si>
  <si>
    <t xml:space="preserve"> 11:13:25</t>
  </si>
  <si>
    <t xml:space="preserve"> 11:13:35</t>
  </si>
  <si>
    <t xml:space="preserve"> 11:13:45</t>
  </si>
  <si>
    <t xml:space="preserve"> 11:13:55</t>
  </si>
  <si>
    <t xml:space="preserve"> 11:14:5</t>
  </si>
  <si>
    <t xml:space="preserve"> 11:14:15</t>
  </si>
  <si>
    <t xml:space="preserve"> 11:14:25</t>
  </si>
  <si>
    <t xml:space="preserve"> 11:14:35</t>
  </si>
  <si>
    <t xml:space="preserve"> 11:14:45</t>
  </si>
  <si>
    <t xml:space="preserve"> 11:14:55</t>
  </si>
  <si>
    <t xml:space="preserve"> 11:15:5</t>
  </si>
  <si>
    <t xml:space="preserve"> 11:15:15</t>
  </si>
  <si>
    <t xml:space="preserve"> 11:15:25</t>
  </si>
  <si>
    <t xml:space="preserve"> 11:15:35</t>
  </si>
  <si>
    <t xml:space="preserve"> 11:15:45</t>
  </si>
  <si>
    <t xml:space="preserve"> 11:15:55</t>
  </si>
  <si>
    <t xml:space="preserve"> 11:16:5</t>
  </si>
  <si>
    <t xml:space="preserve"> 11:16:15</t>
  </si>
  <si>
    <t xml:space="preserve"> 11:16:25</t>
  </si>
  <si>
    <t xml:space="preserve"> 11:16:35</t>
  </si>
  <si>
    <t xml:space="preserve"> 11:16:45</t>
  </si>
  <si>
    <t xml:space="preserve"> 11:16:55</t>
  </si>
  <si>
    <t xml:space="preserve"> 11:17:5</t>
  </si>
  <si>
    <t xml:space="preserve"> 11:17:15</t>
  </si>
  <si>
    <t xml:space="preserve"> 11:17:25</t>
  </si>
  <si>
    <t xml:space="preserve"> 11:17:35</t>
  </si>
  <si>
    <t xml:space="preserve"> 11:17:45</t>
  </si>
  <si>
    <t xml:space="preserve"> 11:17:55</t>
  </si>
  <si>
    <t xml:space="preserve"> 11:18:5</t>
  </si>
  <si>
    <t xml:space="preserve"> 11:18:15</t>
  </si>
  <si>
    <t xml:space="preserve"> 11:18:25</t>
  </si>
  <si>
    <t xml:space="preserve"> 11:18:35</t>
  </si>
  <si>
    <t xml:space="preserve"> 11:18:45</t>
  </si>
  <si>
    <t xml:space="preserve"> 11:18:55</t>
  </si>
  <si>
    <t xml:space="preserve"> 11:19:5</t>
  </si>
  <si>
    <t xml:space="preserve"> 11:19:15</t>
  </si>
  <si>
    <t xml:space="preserve"> 11:19:25</t>
  </si>
  <si>
    <t xml:space="preserve"> 11:19:35</t>
  </si>
  <si>
    <t xml:space="preserve"> 11:19:45</t>
  </si>
  <si>
    <t xml:space="preserve"> 11:19:55</t>
  </si>
  <si>
    <t xml:space="preserve"> 11:20:5</t>
  </si>
  <si>
    <t xml:space="preserve"> 11:20:15</t>
  </si>
  <si>
    <t xml:space="preserve"> 11:20:25</t>
  </si>
  <si>
    <t xml:space="preserve"> 11:20:35</t>
  </si>
  <si>
    <t xml:space="preserve"> 11:20:45</t>
  </si>
  <si>
    <t xml:space="preserve"> 11:20:55</t>
  </si>
  <si>
    <t xml:space="preserve"> 11:21:5</t>
  </si>
  <si>
    <t xml:space="preserve"> 11:21:15</t>
  </si>
  <si>
    <t xml:space="preserve"> 11:21:25</t>
  </si>
  <si>
    <t xml:space="preserve"> 11:21:35</t>
  </si>
  <si>
    <t xml:space="preserve"> 11:21:45</t>
  </si>
  <si>
    <t xml:space="preserve"> 11:21:55</t>
  </si>
  <si>
    <t xml:space="preserve"> 11:22:5</t>
  </si>
  <si>
    <t xml:space="preserve"> 11:22:15</t>
  </si>
  <si>
    <t xml:space="preserve"> 11:22:25</t>
  </si>
  <si>
    <t xml:space="preserve"> 11:22:35</t>
  </si>
  <si>
    <t xml:space="preserve"> 11:22:45</t>
  </si>
  <si>
    <t xml:space="preserve"> 11:22:55</t>
  </si>
  <si>
    <t xml:space="preserve"> 11:23:5</t>
  </si>
  <si>
    <t xml:space="preserve"> 11:23:15</t>
  </si>
  <si>
    <t xml:space="preserve"> 11:23:25</t>
  </si>
  <si>
    <t xml:space="preserve"> 11:23:35</t>
  </si>
  <si>
    <t xml:space="preserve"> 11:23:45</t>
  </si>
  <si>
    <t xml:space="preserve"> 11:23:55</t>
  </si>
  <si>
    <t xml:space="preserve"> 11:24:5</t>
  </si>
  <si>
    <t xml:space="preserve"> 11:24:15</t>
  </si>
  <si>
    <t xml:space="preserve"> 11:24:25</t>
  </si>
  <si>
    <t xml:space="preserve"> 11:24:35</t>
  </si>
  <si>
    <t xml:space="preserve"> 11:24:45</t>
  </si>
  <si>
    <t xml:space="preserve"> 11:24:55</t>
  </si>
  <si>
    <t xml:space="preserve"> 11:25:5</t>
  </si>
  <si>
    <t xml:space="preserve"> 11:25:15</t>
  </si>
  <si>
    <t xml:space="preserve"> 11:25:25</t>
  </si>
  <si>
    <t xml:space="preserve"> 11:25:35</t>
  </si>
  <si>
    <t xml:space="preserve"> 11:25:45</t>
  </si>
  <si>
    <t xml:space="preserve"> 11:25:55</t>
  </si>
  <si>
    <t xml:space="preserve"> 11:26:5</t>
  </si>
  <si>
    <t xml:space="preserve"> 11:26:15</t>
  </si>
  <si>
    <t xml:space="preserve"> 11:26:25</t>
  </si>
  <si>
    <t xml:space="preserve"> 11:26:35</t>
  </si>
  <si>
    <t xml:space="preserve"> 11:26:45</t>
  </si>
  <si>
    <t xml:space="preserve"> 11:26:55</t>
  </si>
  <si>
    <t xml:space="preserve"> 11:27:5</t>
  </si>
  <si>
    <t xml:space="preserve"> 11:27:15</t>
  </si>
  <si>
    <t xml:space="preserve"> 11:27:25</t>
  </si>
  <si>
    <t xml:space="preserve"> 11:27:35</t>
  </si>
  <si>
    <t xml:space="preserve"> 11:27:45</t>
  </si>
  <si>
    <t xml:space="preserve"> 11:27:55</t>
  </si>
  <si>
    <t xml:space="preserve"> 11:28:5</t>
  </si>
  <si>
    <t xml:space="preserve"> 11:28:15</t>
  </si>
  <si>
    <t xml:space="preserve"> 11:28:25</t>
  </si>
  <si>
    <t xml:space="preserve"> 11:28:35</t>
  </si>
  <si>
    <t xml:space="preserve"> 11:28:45</t>
  </si>
  <si>
    <t xml:space="preserve"> 11:28:55</t>
  </si>
  <si>
    <t xml:space="preserve"> 11:29:5</t>
  </si>
  <si>
    <t xml:space="preserve"> 11:29:15</t>
  </si>
  <si>
    <t xml:space="preserve"> 11:29:25</t>
  </si>
  <si>
    <t xml:space="preserve"> 11:29:35</t>
  </si>
  <si>
    <t xml:space="preserve"> 11:29:45</t>
  </si>
  <si>
    <t xml:space="preserve"> 11:29:55</t>
  </si>
  <si>
    <t xml:space="preserve"> 11:30:5</t>
  </si>
  <si>
    <t xml:space="preserve"> 11:30:15</t>
  </si>
  <si>
    <t xml:space="preserve"> 11:30:25</t>
  </si>
  <si>
    <t xml:space="preserve"> 11:30:35</t>
  </si>
  <si>
    <t xml:space="preserve"> 11:30:45</t>
  </si>
  <si>
    <t xml:space="preserve"> 11:30:55</t>
  </si>
  <si>
    <t xml:space="preserve"> 11:31:5</t>
  </si>
  <si>
    <t xml:space="preserve"> 11:31:15</t>
  </si>
  <si>
    <t xml:space="preserve"> 11:31:25</t>
  </si>
  <si>
    <t xml:space="preserve"> 11:31:35</t>
  </si>
  <si>
    <t xml:space="preserve"> 11:31:45</t>
  </si>
  <si>
    <t xml:space="preserve"> 11:31:55</t>
  </si>
  <si>
    <t xml:space="preserve"> 11:32:5</t>
  </si>
  <si>
    <t xml:space="preserve"> 11:32:15</t>
  </si>
  <si>
    <t xml:space="preserve"> 11:32:25</t>
  </si>
  <si>
    <t xml:space="preserve"> 11:32:35</t>
  </si>
  <si>
    <t xml:space="preserve"> 11:32:45</t>
  </si>
  <si>
    <t xml:space="preserve"> 11:32:55</t>
  </si>
  <si>
    <t xml:space="preserve"> 11:33:5</t>
  </si>
  <si>
    <t xml:space="preserve"> 11:33:15</t>
  </si>
  <si>
    <t xml:space="preserve"> 11:33:25</t>
  </si>
  <si>
    <t xml:space="preserve"> 11:33:35</t>
  </si>
  <si>
    <t xml:space="preserve"> 11:33:45</t>
  </si>
  <si>
    <t xml:space="preserve"> 11:33:55</t>
  </si>
  <si>
    <t xml:space="preserve"> 11:34:5</t>
  </si>
  <si>
    <t xml:space="preserve"> 11:34:15</t>
  </si>
  <si>
    <t xml:space="preserve"> 11:34:25</t>
  </si>
  <si>
    <t xml:space="preserve"> 11:34:35</t>
  </si>
  <si>
    <t xml:space="preserve"> 11:34:45</t>
  </si>
  <si>
    <t xml:space="preserve"> 11:34:55</t>
  </si>
  <si>
    <t xml:space="preserve"> 11:35:5</t>
  </si>
  <si>
    <t xml:space="preserve"> 11:35:15</t>
  </si>
  <si>
    <t xml:space="preserve"> 11:35:25</t>
  </si>
  <si>
    <t xml:space="preserve"> 11:35:35</t>
  </si>
  <si>
    <t xml:space="preserve"> 11:35:45</t>
  </si>
  <si>
    <t xml:space="preserve"> 11:35:55</t>
  </si>
  <si>
    <t xml:space="preserve"> 11:36:5</t>
  </si>
  <si>
    <t xml:space="preserve"> 11:36:15</t>
  </si>
  <si>
    <t xml:space="preserve"> 11:36:25</t>
  </si>
  <si>
    <t xml:space="preserve"> 11:36:35</t>
  </si>
  <si>
    <t xml:space="preserve"> 11:36:45</t>
  </si>
  <si>
    <t xml:space="preserve"> 11:36:55</t>
  </si>
  <si>
    <t xml:space="preserve"> 11:37:5</t>
  </si>
  <si>
    <t xml:space="preserve"> 11:37:15</t>
  </si>
  <si>
    <t xml:space="preserve"> 11:37:25</t>
  </si>
  <si>
    <t xml:space="preserve"> 11:37:35</t>
  </si>
  <si>
    <t xml:space="preserve"> 11:37:45</t>
  </si>
  <si>
    <t xml:space="preserve"> 11:37:55</t>
  </si>
  <si>
    <t xml:space="preserve"> 11:38:5</t>
  </si>
  <si>
    <t xml:space="preserve"> 11:38:15</t>
  </si>
  <si>
    <t xml:space="preserve"> 11:38:25</t>
  </si>
  <si>
    <t xml:space="preserve"> 11:38:35</t>
  </si>
  <si>
    <t xml:space="preserve"> 11:38:45</t>
  </si>
  <si>
    <t xml:space="preserve"> 11:38:55</t>
  </si>
  <si>
    <t xml:space="preserve"> 11:39:5</t>
  </si>
  <si>
    <t xml:space="preserve"> 11:39:15</t>
  </si>
  <si>
    <t xml:space="preserve"> 11:39:25</t>
  </si>
  <si>
    <t xml:space="preserve"> 11:39:35</t>
  </si>
  <si>
    <t xml:space="preserve"> 11:39:45</t>
  </si>
  <si>
    <t xml:space="preserve"> 11:39:55</t>
  </si>
  <si>
    <t xml:space="preserve"> 11:40:5</t>
  </si>
  <si>
    <t xml:space="preserve"> 11:40:15</t>
  </si>
  <si>
    <t xml:space="preserve"> 11:40:25</t>
  </si>
  <si>
    <t xml:space="preserve"> 11:40:35</t>
  </si>
  <si>
    <t xml:space="preserve"> 11:40:45</t>
  </si>
  <si>
    <t xml:space="preserve"> 11:40:55</t>
  </si>
  <si>
    <t xml:space="preserve"> 11:41:5</t>
  </si>
  <si>
    <t xml:space="preserve"> 11:41:15</t>
  </si>
  <si>
    <t xml:space="preserve"> 11:41:25</t>
  </si>
  <si>
    <t xml:space="preserve"> 11:41:35</t>
  </si>
  <si>
    <t xml:space="preserve"> 11:41:45</t>
  </si>
  <si>
    <t xml:space="preserve"> 11:41:55</t>
  </si>
  <si>
    <t xml:space="preserve"> 11:42:5</t>
  </si>
  <si>
    <t xml:space="preserve"> 11:42:15</t>
  </si>
  <si>
    <t xml:space="preserve"> 11:42:25</t>
  </si>
  <si>
    <t xml:space="preserve"> 11:42:35</t>
  </si>
  <si>
    <t xml:space="preserve"> 11:42:45</t>
  </si>
  <si>
    <t xml:space="preserve"> 11:42:55</t>
  </si>
  <si>
    <t xml:space="preserve"> 11:43:5</t>
  </si>
  <si>
    <t xml:space="preserve"> 11:43:15</t>
  </si>
  <si>
    <t xml:space="preserve"> 11:43:25</t>
  </si>
  <si>
    <t xml:space="preserve"> 11:43:35</t>
  </si>
  <si>
    <t xml:space="preserve"> 11:43:45</t>
  </si>
  <si>
    <t xml:space="preserve"> 11:43:55</t>
  </si>
  <si>
    <t xml:space="preserve"> 11:44:5</t>
  </si>
  <si>
    <t xml:space="preserve"> 11:44:15</t>
  </si>
  <si>
    <t xml:space="preserve"> 11:44:25</t>
  </si>
  <si>
    <t xml:space="preserve"> 11:44:35</t>
  </si>
  <si>
    <t xml:space="preserve"> 11:44:45</t>
  </si>
  <si>
    <t xml:space="preserve"> 11:44:55</t>
  </si>
  <si>
    <t xml:space="preserve"> 11:45:5</t>
  </si>
  <si>
    <t xml:space="preserve"> 11:45:15</t>
  </si>
  <si>
    <t xml:space="preserve"> 11:45:25</t>
  </si>
  <si>
    <t xml:space="preserve"> 11:45:35</t>
  </si>
  <si>
    <t xml:space="preserve"> 11:45:45</t>
  </si>
  <si>
    <t xml:space="preserve"> 11:45:55</t>
  </si>
  <si>
    <t xml:space="preserve"> 11:46:5</t>
  </si>
  <si>
    <t xml:space="preserve"> 11:46:15</t>
  </si>
  <si>
    <t xml:space="preserve"> 11:46:25</t>
  </si>
  <si>
    <t xml:space="preserve"> 11:46:35</t>
  </si>
  <si>
    <t xml:space="preserve"> 11:46:45</t>
  </si>
  <si>
    <t xml:space="preserve"> 11:46:55</t>
  </si>
  <si>
    <t xml:space="preserve"> 11:47:5</t>
  </si>
  <si>
    <t xml:space="preserve"> 11:47:15</t>
  </si>
  <si>
    <t xml:space="preserve"> 11:47:25</t>
  </si>
  <si>
    <t xml:space="preserve"> 11:47:35</t>
  </si>
  <si>
    <t xml:space="preserve"> 11:47:45</t>
  </si>
  <si>
    <t xml:space="preserve"> 11:47:55</t>
  </si>
  <si>
    <t xml:space="preserve"> 11:48:5</t>
  </si>
  <si>
    <t xml:space="preserve"> 11:48:15</t>
  </si>
  <si>
    <t xml:space="preserve"> 11:48:25</t>
  </si>
  <si>
    <t xml:space="preserve"> 11:48:35</t>
  </si>
  <si>
    <t xml:space="preserve"> 11:48:45</t>
  </si>
  <si>
    <t xml:space="preserve"> 11:48:55</t>
  </si>
  <si>
    <t xml:space="preserve"> 11:49:5</t>
  </si>
  <si>
    <t xml:space="preserve"> 11:49:15</t>
  </si>
  <si>
    <t xml:space="preserve"> 11:49:25</t>
  </si>
  <si>
    <t xml:space="preserve"> 11:49:35</t>
  </si>
  <si>
    <t xml:space="preserve"> 11:49:45</t>
  </si>
  <si>
    <t xml:space="preserve"> 11:49:55</t>
  </si>
  <si>
    <t xml:space="preserve"> 11:50:5</t>
  </si>
  <si>
    <t xml:space="preserve"> 11:50:15</t>
  </si>
  <si>
    <t xml:space="preserve"> 11:50:25</t>
  </si>
  <si>
    <t xml:space="preserve"> 11:50:35</t>
  </si>
  <si>
    <t xml:space="preserve"> 11:50:45</t>
  </si>
  <si>
    <t xml:space="preserve"> 11:50:55</t>
  </si>
  <si>
    <t xml:space="preserve"> 11:51:5</t>
  </si>
  <si>
    <t xml:space="preserve"> 11:51:15</t>
  </si>
  <si>
    <t xml:space="preserve"> 11:51:25</t>
  </si>
  <si>
    <t xml:space="preserve"> 11:51:35</t>
  </si>
  <si>
    <t xml:space="preserve"> 11:51:45</t>
  </si>
  <si>
    <t xml:space="preserve"> 11:51:55</t>
  </si>
  <si>
    <t xml:space="preserve"> 11:52:5</t>
  </si>
  <si>
    <t xml:space="preserve"> 11:52:15</t>
  </si>
  <si>
    <t xml:space="preserve"> 11:52:25</t>
  </si>
  <si>
    <t xml:space="preserve"> 11:52:35</t>
  </si>
  <si>
    <t xml:space="preserve"> 11:52:45</t>
  </si>
  <si>
    <t xml:space="preserve"> 11:52:55</t>
  </si>
  <si>
    <t xml:space="preserve"> 11:53:5</t>
  </si>
  <si>
    <t xml:space="preserve"> 11:53:15</t>
  </si>
  <si>
    <t xml:space="preserve"> 11:53:25</t>
  </si>
  <si>
    <t xml:space="preserve"> 11:53:35</t>
  </si>
  <si>
    <t xml:space="preserve"> 11:53:45</t>
  </si>
  <si>
    <t xml:space="preserve"> 11:53:55</t>
  </si>
  <si>
    <t xml:space="preserve"> 11:54:5</t>
  </si>
  <si>
    <t xml:space="preserve"> 11:54:15</t>
  </si>
  <si>
    <t xml:space="preserve"> 11:54:25</t>
  </si>
  <si>
    <t xml:space="preserve"> 11:54:35</t>
  </si>
  <si>
    <t xml:space="preserve"> 11:54:45</t>
  </si>
  <si>
    <t xml:space="preserve"> 11:54:55</t>
  </si>
  <si>
    <t xml:space="preserve"> 11:55:5</t>
  </si>
  <si>
    <t xml:space="preserve"> 11:55:15</t>
  </si>
  <si>
    <t xml:space="preserve"> 11:55:25</t>
  </si>
  <si>
    <t xml:space="preserve"> 11:55:35</t>
  </si>
  <si>
    <t xml:space="preserve"> 11:55:45</t>
  </si>
  <si>
    <t xml:space="preserve"> 11:55:55</t>
  </si>
  <si>
    <t xml:space="preserve"> 11:56:5</t>
  </si>
  <si>
    <t xml:space="preserve"> 11:56:15</t>
  </si>
  <si>
    <t xml:space="preserve"> 11:56:25</t>
  </si>
  <si>
    <t xml:space="preserve"> 11:56:35</t>
  </si>
  <si>
    <t xml:space="preserve"> 11:56:45</t>
  </si>
  <si>
    <t xml:space="preserve"> 11:56:55</t>
  </si>
  <si>
    <t xml:space="preserve"> 11:57:5</t>
  </si>
  <si>
    <t xml:space="preserve"> 11:57:15</t>
  </si>
  <si>
    <t xml:space="preserve"> 11:57:25</t>
  </si>
  <si>
    <t xml:space="preserve"> 11:57:35</t>
  </si>
  <si>
    <t xml:space="preserve"> 11:57:45</t>
  </si>
  <si>
    <t xml:space="preserve"> 11:57:55</t>
  </si>
  <si>
    <t xml:space="preserve"> 11:58:5</t>
  </si>
  <si>
    <t xml:space="preserve"> 11:58:15</t>
  </si>
  <si>
    <t xml:space="preserve"> 11:58:25</t>
  </si>
  <si>
    <t xml:space="preserve"> 11:58:35</t>
  </si>
  <si>
    <t xml:space="preserve"> 11:58:45</t>
  </si>
  <si>
    <t xml:space="preserve"> 11:58:55</t>
  </si>
  <si>
    <t xml:space="preserve"> 11:59:5</t>
  </si>
  <si>
    <t xml:space="preserve"> 11:59:15</t>
  </si>
  <si>
    <t xml:space="preserve"> 11:59:25</t>
  </si>
  <si>
    <t xml:space="preserve"> 11:59:35</t>
  </si>
  <si>
    <t xml:space="preserve"> 11:59:45</t>
  </si>
  <si>
    <t xml:space="preserve"> 11:59:55</t>
  </si>
  <si>
    <t xml:space="preserve"> 12:0:5</t>
  </si>
  <si>
    <t xml:space="preserve"> 12:0:15</t>
  </si>
  <si>
    <t xml:space="preserve"> 12:0:25</t>
  </si>
  <si>
    <t xml:space="preserve"> 12:0:35</t>
  </si>
  <si>
    <t xml:space="preserve"> 12:0:45</t>
  </si>
  <si>
    <t xml:space="preserve"> 12:0:55</t>
  </si>
  <si>
    <t xml:space="preserve"> 12:1:5</t>
  </si>
  <si>
    <t xml:space="preserve"> 12:1:15</t>
  </si>
  <si>
    <t xml:space="preserve"> 12:1:25</t>
  </si>
  <si>
    <t xml:space="preserve"> 12:1:35</t>
  </si>
  <si>
    <t xml:space="preserve"> 12:1:45</t>
  </si>
  <si>
    <t xml:space="preserve"> 12:1:55</t>
  </si>
  <si>
    <t xml:space="preserve"> 12:2:5</t>
  </si>
  <si>
    <t xml:space="preserve"> 12:2:15</t>
  </si>
  <si>
    <t xml:space="preserve"> 12:2:25</t>
  </si>
  <si>
    <t xml:space="preserve"> 12:2:35</t>
  </si>
  <si>
    <t xml:space="preserve"> 12:2:45</t>
  </si>
  <si>
    <t xml:space="preserve"> 12:2:55</t>
  </si>
  <si>
    <t xml:space="preserve"> 12:3:5</t>
  </si>
  <si>
    <t xml:space="preserve"> 12:3:15</t>
  </si>
  <si>
    <t xml:space="preserve"> 12:3:25</t>
  </si>
  <si>
    <t xml:space="preserve"> 12:3:35</t>
  </si>
  <si>
    <t xml:space="preserve"> 12:3:45</t>
  </si>
  <si>
    <t xml:space="preserve"> 12:3:55</t>
  </si>
  <si>
    <t xml:space="preserve"> 12:4:5</t>
  </si>
  <si>
    <t xml:space="preserve"> 12:4:15</t>
  </si>
  <si>
    <t xml:space="preserve"> 12:4:25</t>
  </si>
  <si>
    <t xml:space="preserve"> 12:4:35</t>
  </si>
  <si>
    <t xml:space="preserve"> 12:4:45</t>
  </si>
  <si>
    <t xml:space="preserve"> 12:4:55</t>
  </si>
  <si>
    <t xml:space="preserve"> 12:5:5</t>
  </si>
  <si>
    <t xml:space="preserve"> 12:5:15</t>
  </si>
  <si>
    <t xml:space="preserve"> 12:5:25</t>
  </si>
  <si>
    <t xml:space="preserve"> 12:5:35</t>
  </si>
  <si>
    <t xml:space="preserve"> 12:5:45</t>
  </si>
  <si>
    <t xml:space="preserve"> 12:5:55</t>
  </si>
  <si>
    <t xml:space="preserve"> 12:6:5</t>
  </si>
  <si>
    <t xml:space="preserve"> 12:6:15</t>
  </si>
  <si>
    <t xml:space="preserve"> 12:6:25</t>
  </si>
  <si>
    <t xml:space="preserve"> 12:6:35</t>
  </si>
  <si>
    <t xml:space="preserve"> 12:6:45</t>
  </si>
  <si>
    <t xml:space="preserve"> 12:6:55</t>
  </si>
  <si>
    <t xml:space="preserve"> 12:7:5</t>
  </si>
  <si>
    <t xml:space="preserve"> 12:7:15</t>
  </si>
  <si>
    <t xml:space="preserve"> 12:7:25</t>
  </si>
  <si>
    <t xml:space="preserve"> 12:7:35</t>
  </si>
  <si>
    <t xml:space="preserve"> 12:7:45</t>
  </si>
  <si>
    <t xml:space="preserve"> 12:7:55</t>
  </si>
  <si>
    <t xml:space="preserve"> 12:8:5</t>
  </si>
  <si>
    <t xml:space="preserve"> 12:8:15</t>
  </si>
  <si>
    <t xml:space="preserve"> 12:8:25</t>
  </si>
  <si>
    <t xml:space="preserve"> 12:8:35</t>
  </si>
  <si>
    <t xml:space="preserve"> 12:8:45</t>
  </si>
  <si>
    <t xml:space="preserve"> 12:8:55</t>
  </si>
  <si>
    <t xml:space="preserve"> 12:9:5</t>
  </si>
  <si>
    <t xml:space="preserve"> 12:9:15</t>
  </si>
  <si>
    <t xml:space="preserve"> 12:9:25</t>
  </si>
  <si>
    <t xml:space="preserve"> 12:9:35</t>
  </si>
  <si>
    <t xml:space="preserve"> 12:9:45</t>
  </si>
  <si>
    <t xml:space="preserve"> 12:9:55</t>
  </si>
  <si>
    <t xml:space="preserve"> 12:10:5</t>
  </si>
  <si>
    <t xml:space="preserve"> 12:10:15</t>
  </si>
  <si>
    <t xml:space="preserve"> 12:10:25</t>
  </si>
  <si>
    <t xml:space="preserve"> 12:10:35</t>
  </si>
  <si>
    <t xml:space="preserve"> 12:10:45</t>
  </si>
  <si>
    <t xml:space="preserve"> 12:10:55</t>
  </si>
  <si>
    <t xml:space="preserve"> 12:11:5</t>
  </si>
  <si>
    <t xml:space="preserve"> 12:11:15</t>
  </si>
  <si>
    <t xml:space="preserve"> 12:11:25</t>
  </si>
  <si>
    <t xml:space="preserve"> 12:11:35</t>
  </si>
  <si>
    <t xml:space="preserve"> 12:11:45</t>
  </si>
  <si>
    <t xml:space="preserve"> 12:11:55</t>
  </si>
  <si>
    <t xml:space="preserve"> 12:12:5</t>
  </si>
  <si>
    <t xml:space="preserve"> 12:12:15</t>
  </si>
  <si>
    <t xml:space="preserve"> 12:12:25</t>
  </si>
  <si>
    <t xml:space="preserve"> 12:12:35</t>
  </si>
  <si>
    <t xml:space="preserve"> 12:12:45</t>
  </si>
  <si>
    <t xml:space="preserve"> 12:12:55</t>
  </si>
  <si>
    <t xml:space="preserve"> 12:13:5</t>
  </si>
  <si>
    <t xml:space="preserve"> 12:13:15</t>
  </si>
  <si>
    <t xml:space="preserve"> 12:13:25</t>
  </si>
  <si>
    <t xml:space="preserve"> 12:13:35</t>
  </si>
  <si>
    <t xml:space="preserve"> 12:13:45</t>
  </si>
  <si>
    <t xml:space="preserve"> 12:13:55</t>
  </si>
  <si>
    <t xml:space="preserve"> 12:14:5</t>
  </si>
  <si>
    <t xml:space="preserve"> 12:14:15</t>
  </si>
  <si>
    <t xml:space="preserve"> 12:14:25</t>
  </si>
  <si>
    <t xml:space="preserve"> 12:14:35</t>
  </si>
  <si>
    <t xml:space="preserve"> 12:14:45</t>
  </si>
  <si>
    <t xml:space="preserve"> 12:14:55</t>
  </si>
  <si>
    <t xml:space="preserve"> 12:15:5</t>
  </si>
  <si>
    <t xml:space="preserve"> 12:15:15</t>
  </si>
  <si>
    <t xml:space="preserve"> 12:15:25</t>
  </si>
  <si>
    <t xml:space="preserve"> 12:15:35</t>
  </si>
  <si>
    <t xml:space="preserve"> 12:15:45</t>
  </si>
  <si>
    <t xml:space="preserve"> 12:15:55</t>
  </si>
  <si>
    <t xml:space="preserve"> 12:16:5</t>
  </si>
  <si>
    <t xml:space="preserve"> 12:16:15</t>
  </si>
  <si>
    <t xml:space="preserve"> 12:16:25</t>
  </si>
  <si>
    <t xml:space="preserve"> 12:16:35</t>
  </si>
  <si>
    <t xml:space="preserve"> 12:16:45</t>
  </si>
  <si>
    <t xml:space="preserve"> 12:16:55</t>
  </si>
  <si>
    <t xml:space="preserve"> 12:17:5</t>
  </si>
  <si>
    <t xml:space="preserve"> 12:17:15</t>
  </si>
  <si>
    <t xml:space="preserve"> 12:17:25</t>
  </si>
  <si>
    <t xml:space="preserve"> 12:17:35</t>
  </si>
  <si>
    <t xml:space="preserve"> 12:17:45</t>
  </si>
  <si>
    <t xml:space="preserve"> 12:17:55</t>
  </si>
  <si>
    <t xml:space="preserve"> 12:18:5</t>
  </si>
  <si>
    <t xml:space="preserve"> 12:18:15</t>
  </si>
  <si>
    <t xml:space="preserve"> 12:18:25</t>
  </si>
  <si>
    <t xml:space="preserve"> 12:18:35</t>
  </si>
  <si>
    <t xml:space="preserve"> 12:18:45</t>
  </si>
  <si>
    <t xml:space="preserve"> 12:18:55</t>
  </si>
  <si>
    <t xml:space="preserve"> 12:19:5</t>
  </si>
  <si>
    <t xml:space="preserve"> 12:19:15</t>
  </si>
  <si>
    <t xml:space="preserve"> 12:19:25</t>
  </si>
  <si>
    <t xml:space="preserve"> 12:19:35</t>
  </si>
  <si>
    <t xml:space="preserve"> 12:19:45</t>
  </si>
  <si>
    <t xml:space="preserve"> 12:19:55</t>
  </si>
  <si>
    <t xml:space="preserve"> 12:20:5</t>
  </si>
  <si>
    <t xml:space="preserve"> 12:20:15</t>
  </si>
  <si>
    <t xml:space="preserve"> 12:20:25</t>
  </si>
  <si>
    <t xml:space="preserve"> 12:20:35</t>
  </si>
  <si>
    <t xml:space="preserve"> 12:20:45</t>
  </si>
  <si>
    <t xml:space="preserve"> 12:20:55</t>
  </si>
  <si>
    <t xml:space="preserve"> 12:21:5</t>
  </si>
  <si>
    <t xml:space="preserve"> 12:21:15</t>
  </si>
  <si>
    <t xml:space="preserve"> 12:21:25</t>
  </si>
  <si>
    <t xml:space="preserve"> 12:21:35</t>
  </si>
  <si>
    <t xml:space="preserve"> 12:21:45</t>
  </si>
  <si>
    <t xml:space="preserve"> 12:21:55</t>
  </si>
  <si>
    <t xml:space="preserve"> 12:22:5</t>
  </si>
  <si>
    <t xml:space="preserve"> 12:22:15</t>
  </si>
  <si>
    <t xml:space="preserve"> 12:22:25</t>
  </si>
  <si>
    <t xml:space="preserve"> 12:22:35</t>
  </si>
  <si>
    <t xml:space="preserve"> 12:22:45</t>
  </si>
  <si>
    <t xml:space="preserve"> 12:22:55</t>
  </si>
  <si>
    <t xml:space="preserve"> 12:23:5</t>
  </si>
  <si>
    <t xml:space="preserve"> 12:23:15</t>
  </si>
  <si>
    <t xml:space="preserve"> 12:23:25</t>
  </si>
  <si>
    <t xml:space="preserve"> 12:23:35</t>
  </si>
  <si>
    <t xml:space="preserve"> 12:23:45</t>
  </si>
  <si>
    <t xml:space="preserve"> 12:23:55</t>
  </si>
  <si>
    <t xml:space="preserve"> 12:24:5</t>
  </si>
  <si>
    <t xml:space="preserve"> 12:24:15</t>
  </si>
  <si>
    <t xml:space="preserve"> 12:24:25</t>
  </si>
  <si>
    <t xml:space="preserve"> 12:24:35</t>
  </si>
  <si>
    <t xml:space="preserve"> 12:24:45</t>
  </si>
  <si>
    <t xml:space="preserve"> 12:24:55</t>
  </si>
  <si>
    <t xml:space="preserve"> 12:25:5</t>
  </si>
  <si>
    <t xml:space="preserve"> 12:25:15</t>
  </si>
  <si>
    <t xml:space="preserve"> 12:25:25</t>
  </si>
  <si>
    <t xml:space="preserve"> 12:25:35</t>
  </si>
  <si>
    <t xml:space="preserve"> 12:25:45</t>
  </si>
  <si>
    <t xml:space="preserve"> 12:25:55</t>
  </si>
  <si>
    <t xml:space="preserve"> 12:26:5</t>
  </si>
  <si>
    <t xml:space="preserve"> 12:26:15</t>
  </si>
  <si>
    <t xml:space="preserve"> 12:26:25</t>
  </si>
  <si>
    <t xml:space="preserve"> 12:26:35</t>
  </si>
  <si>
    <t xml:space="preserve"> 12:26:45</t>
  </si>
  <si>
    <t xml:space="preserve"> 12:26:55</t>
  </si>
  <si>
    <t xml:space="preserve"> 12:27:5</t>
  </si>
  <si>
    <t xml:space="preserve"> 12:27:15</t>
  </si>
  <si>
    <t xml:space="preserve"> 12:27:25</t>
  </si>
  <si>
    <t xml:space="preserve"> 12:27:35</t>
  </si>
  <si>
    <t xml:space="preserve"> 12:27:45</t>
  </si>
  <si>
    <t xml:space="preserve"> 12:27:55</t>
  </si>
  <si>
    <t xml:space="preserve"> 12:28:5</t>
  </si>
  <si>
    <t xml:space="preserve"> 12:28:15</t>
  </si>
  <si>
    <t xml:space="preserve"> 12:28:25</t>
  </si>
  <si>
    <t xml:space="preserve"> 12:28:35</t>
  </si>
  <si>
    <t xml:space="preserve"> 12:28:45</t>
  </si>
  <si>
    <t xml:space="preserve"> 12:28:55</t>
  </si>
  <si>
    <t xml:space="preserve"> 12:29:5</t>
  </si>
  <si>
    <t xml:space="preserve"> 12:29:15</t>
  </si>
  <si>
    <t xml:space="preserve"> 12:29:25</t>
  </si>
  <si>
    <t xml:space="preserve"> 12:29:35</t>
  </si>
  <si>
    <t xml:space="preserve"> 12:29:45</t>
  </si>
  <si>
    <t xml:space="preserve"> 12:29:55</t>
  </si>
  <si>
    <t xml:space="preserve"> 12:30:5</t>
  </si>
  <si>
    <t xml:space="preserve"> 12:30:15</t>
  </si>
  <si>
    <t xml:space="preserve"> 12:30:25</t>
  </si>
  <si>
    <t xml:space="preserve"> 12:30:35</t>
  </si>
  <si>
    <t xml:space="preserve"> 12:30:45</t>
  </si>
  <si>
    <t xml:space="preserve"> 12:30:55</t>
  </si>
  <si>
    <t xml:space="preserve"> 12:31:5</t>
  </si>
  <si>
    <t xml:space="preserve"> 12:31:15</t>
  </si>
  <si>
    <t xml:space="preserve"> 12:31:25</t>
  </si>
  <si>
    <t xml:space="preserve"> 12:31:35</t>
  </si>
  <si>
    <t xml:space="preserve"> 12:31:45</t>
  </si>
  <si>
    <t xml:space="preserve"> 12:31:55</t>
  </si>
  <si>
    <t xml:space="preserve"> 12:32:5</t>
  </si>
  <si>
    <t xml:space="preserve"> 12:32:15</t>
  </si>
  <si>
    <t xml:space="preserve"> 12:32:25</t>
  </si>
  <si>
    <t xml:space="preserve"> 12:32:35</t>
  </si>
  <si>
    <t xml:space="preserve"> 12:32:45</t>
  </si>
  <si>
    <t xml:space="preserve"> 12:32:55</t>
  </si>
  <si>
    <t xml:space="preserve"> 12:33:5</t>
  </si>
  <si>
    <t xml:space="preserve"> 12:33:15</t>
  </si>
  <si>
    <t xml:space="preserve"> 12:33:25</t>
  </si>
  <si>
    <t xml:space="preserve"> 12:33:35</t>
  </si>
  <si>
    <t xml:space="preserve"> 12:33:45</t>
  </si>
  <si>
    <t xml:space="preserve"> 12:33:55</t>
  </si>
  <si>
    <t xml:space="preserve"> 12:34:5</t>
  </si>
  <si>
    <t xml:space="preserve"> 12:34:15</t>
  </si>
  <si>
    <t xml:space="preserve"> 12:34:25</t>
  </si>
  <si>
    <t xml:space="preserve"> 12:34:35</t>
  </si>
  <si>
    <t xml:space="preserve"> 12:34:45</t>
  </si>
  <si>
    <t xml:space="preserve"> 12:34:55</t>
  </si>
  <si>
    <t xml:space="preserve"> 12:35:5</t>
  </si>
  <si>
    <t xml:space="preserve"> 12:35:15</t>
  </si>
  <si>
    <t xml:space="preserve"> 12:35:25</t>
  </si>
  <si>
    <t xml:space="preserve"> 12:35:35</t>
  </si>
  <si>
    <t xml:space="preserve"> 12:35:45</t>
  </si>
  <si>
    <t xml:space="preserve"> 12:35:55</t>
  </si>
  <si>
    <t xml:space="preserve"> 12:36:5</t>
  </si>
  <si>
    <t xml:space="preserve"> 12:36:15</t>
  </si>
  <si>
    <t xml:space="preserve"> 12:36:25</t>
  </si>
  <si>
    <t xml:space="preserve"> 12:36:35</t>
  </si>
  <si>
    <t xml:space="preserve"> 12:36:45</t>
  </si>
  <si>
    <t xml:space="preserve"> 12:36:55</t>
  </si>
  <si>
    <t xml:space="preserve"> 12:37:5</t>
  </si>
  <si>
    <t xml:space="preserve"> 12:37:15</t>
  </si>
  <si>
    <t xml:space="preserve"> 12:37:25</t>
  </si>
  <si>
    <t xml:space="preserve"> 12:37:35</t>
  </si>
  <si>
    <t xml:space="preserve"> 12:37:45</t>
  </si>
  <si>
    <t xml:space="preserve"> 12:37:55</t>
  </si>
  <si>
    <t xml:space="preserve"> 12:38:5</t>
  </si>
  <si>
    <t xml:space="preserve"> 12:38:15</t>
  </si>
  <si>
    <t xml:space="preserve"> 12:38:25</t>
  </si>
  <si>
    <t xml:space="preserve"> 12:38:35</t>
  </si>
  <si>
    <t xml:space="preserve"> 12:38:45</t>
  </si>
  <si>
    <t xml:space="preserve"> 12:38:55</t>
  </si>
  <si>
    <t xml:space="preserve"> 12:39:5</t>
  </si>
  <si>
    <t xml:space="preserve"> 12:39:15</t>
  </si>
  <si>
    <t xml:space="preserve"> 12:39:25</t>
  </si>
  <si>
    <t xml:space="preserve"> 12:39:35</t>
  </si>
  <si>
    <t xml:space="preserve"> 12:39:45</t>
  </si>
  <si>
    <t xml:space="preserve"> 12:39:55</t>
  </si>
  <si>
    <t xml:space="preserve"> 12:40:5</t>
  </si>
  <si>
    <t xml:space="preserve"> 12:40:15</t>
  </si>
  <si>
    <t xml:space="preserve"> 12:40:25</t>
  </si>
  <si>
    <t xml:space="preserve"> 12:40:35</t>
  </si>
  <si>
    <t xml:space="preserve"> 12:40:45</t>
  </si>
  <si>
    <t xml:space="preserve"> 12:40:55</t>
  </si>
  <si>
    <t xml:space="preserve"> 12:41:5</t>
  </si>
  <si>
    <t xml:space="preserve"> 12:41:15</t>
  </si>
  <si>
    <t xml:space="preserve"> 12:41:25</t>
  </si>
  <si>
    <t xml:space="preserve"> 12:41:35</t>
  </si>
  <si>
    <t xml:space="preserve"> 12:41:45</t>
  </si>
  <si>
    <t xml:space="preserve"> 12:41:55</t>
  </si>
  <si>
    <t xml:space="preserve"> 12:42:5</t>
  </si>
  <si>
    <t xml:space="preserve"> 12:42:15</t>
  </si>
  <si>
    <t xml:space="preserve"> 12:42:25</t>
  </si>
  <si>
    <t xml:space="preserve"> 12:42:35</t>
  </si>
  <si>
    <t xml:space="preserve"> 12:42:45</t>
  </si>
  <si>
    <t xml:space="preserve"> 12:42:55</t>
  </si>
  <si>
    <t xml:space="preserve"> 12:43:5</t>
  </si>
  <si>
    <t xml:space="preserve"> 12:43:15</t>
  </si>
  <si>
    <t xml:space="preserve"> 12:43:25</t>
  </si>
  <si>
    <t xml:space="preserve"> 12:43:35</t>
  </si>
  <si>
    <t xml:space="preserve"> 12:43:45</t>
  </si>
  <si>
    <t xml:space="preserve"> 12:43:55</t>
  </si>
  <si>
    <t xml:space="preserve"> 12:44:5</t>
  </si>
  <si>
    <t xml:space="preserve"> 12:44:15</t>
  </si>
  <si>
    <t xml:space="preserve"> 12:44:25</t>
  </si>
  <si>
    <t xml:space="preserve"> 12:44:35</t>
  </si>
  <si>
    <t xml:space="preserve"> 12:44:45</t>
  </si>
  <si>
    <t xml:space="preserve"> 12:44:55</t>
  </si>
  <si>
    <t xml:space="preserve"> 12:45:5</t>
  </si>
  <si>
    <t xml:space="preserve"> 12:45:15</t>
  </si>
  <si>
    <t xml:space="preserve"> 12:45:25</t>
  </si>
  <si>
    <t xml:space="preserve"> 12:45:35</t>
  </si>
  <si>
    <t xml:space="preserve"> 12:45:45</t>
  </si>
  <si>
    <t xml:space="preserve"> 12:45:55</t>
  </si>
  <si>
    <t xml:space="preserve"> 12:46:5</t>
  </si>
  <si>
    <t xml:space="preserve"> 12:46:15</t>
  </si>
  <si>
    <t xml:space="preserve"> 12:46:25</t>
  </si>
  <si>
    <t xml:space="preserve"> 12:46:35</t>
  </si>
  <si>
    <t xml:space="preserve"> 12:46:45</t>
  </si>
  <si>
    <t xml:space="preserve"> 12:46:55</t>
  </si>
  <si>
    <t xml:space="preserve"> 12:47:5</t>
  </si>
  <si>
    <t xml:space="preserve"> 12:47:15</t>
  </si>
  <si>
    <t xml:space="preserve"> 12:47:25</t>
  </si>
  <si>
    <t xml:space="preserve"> 12:47:35</t>
  </si>
  <si>
    <t xml:space="preserve"> 12:47:45</t>
  </si>
  <si>
    <t xml:space="preserve"> 12:47:55</t>
  </si>
  <si>
    <t xml:space="preserve"> 12:48:5</t>
  </si>
  <si>
    <t xml:space="preserve"> 12:48:15</t>
  </si>
  <si>
    <t xml:space="preserve"> 12:48:25</t>
  </si>
  <si>
    <t xml:space="preserve"> 12:48:35</t>
  </si>
  <si>
    <t xml:space="preserve"> 12:48:45</t>
  </si>
  <si>
    <t xml:space="preserve"> 12:48:55</t>
  </si>
  <si>
    <t xml:space="preserve"> 12:49:5</t>
  </si>
  <si>
    <t xml:space="preserve"> 12:49:15</t>
  </si>
  <si>
    <t xml:space="preserve"> 12:49:25</t>
  </si>
  <si>
    <t xml:space="preserve"> 12:49:35</t>
  </si>
  <si>
    <t xml:space="preserve"> 12:49:45</t>
  </si>
  <si>
    <t xml:space="preserve"> 12:49:55</t>
  </si>
  <si>
    <t xml:space="preserve"> 12:50:5</t>
  </si>
  <si>
    <t xml:space="preserve"> 12:50:15</t>
  </si>
  <si>
    <t xml:space="preserve"> 12:50:25</t>
  </si>
  <si>
    <t xml:space="preserve"> 12:50:35</t>
  </si>
  <si>
    <t xml:space="preserve"> 12:50:45</t>
  </si>
  <si>
    <t xml:space="preserve"> 12:50:55</t>
  </si>
  <si>
    <t xml:space="preserve"> 12:51:5</t>
  </si>
  <si>
    <t xml:space="preserve"> 12:51:15</t>
  </si>
  <si>
    <t xml:space="preserve"> 12:51:25</t>
  </si>
  <si>
    <t xml:space="preserve"> 12:51:35</t>
  </si>
  <si>
    <t xml:space="preserve"> 12:51:45</t>
  </si>
  <si>
    <t xml:space="preserve"> 12:51:55</t>
  </si>
  <si>
    <t xml:space="preserve"> 12:52:5</t>
  </si>
  <si>
    <t xml:space="preserve"> 12:52:15</t>
  </si>
  <si>
    <t xml:space="preserve"> 12:52:25</t>
  </si>
  <si>
    <t xml:space="preserve"> 12:52:35</t>
  </si>
  <si>
    <t xml:space="preserve"> 12:52:45</t>
  </si>
  <si>
    <t xml:space="preserve"> 12:52:55</t>
  </si>
  <si>
    <t xml:space="preserve"> 12:53:5</t>
  </si>
  <si>
    <t xml:space="preserve"> 12:53:15</t>
  </si>
  <si>
    <t xml:space="preserve"> 12:53:25</t>
  </si>
  <si>
    <t xml:space="preserve"> 12:53:35</t>
  </si>
  <si>
    <t xml:space="preserve"> 12:53:45</t>
  </si>
  <si>
    <t xml:space="preserve"> 12:53:55</t>
  </si>
  <si>
    <t xml:space="preserve"> 12:54:5</t>
  </si>
  <si>
    <t xml:space="preserve"> 12:54:15</t>
  </si>
  <si>
    <t xml:space="preserve"> 12:54:25</t>
  </si>
  <si>
    <t xml:space="preserve"> 12:54:35</t>
  </si>
  <si>
    <t xml:space="preserve"> 12:54:45</t>
  </si>
  <si>
    <t xml:space="preserve"> 12:54:55</t>
  </si>
  <si>
    <t xml:space="preserve"> 12:55:5</t>
  </si>
  <si>
    <t xml:space="preserve"> 12:55:15</t>
  </si>
  <si>
    <t xml:space="preserve"> 12:55:25</t>
  </si>
  <si>
    <t xml:space="preserve"> 12:55:35</t>
  </si>
  <si>
    <t xml:space="preserve"> 12:55:45</t>
  </si>
  <si>
    <t xml:space="preserve"> 12:55:55</t>
  </si>
  <si>
    <t xml:space="preserve"> 12:56:5</t>
  </si>
  <si>
    <t xml:space="preserve"> 12:56:15</t>
  </si>
  <si>
    <t xml:space="preserve"> 12:56:25</t>
  </si>
  <si>
    <t xml:space="preserve"> 12:56:35</t>
  </si>
  <si>
    <t xml:space="preserve"> 12:56:45</t>
  </si>
  <si>
    <t xml:space="preserve"> 12:56:55</t>
  </si>
  <si>
    <t xml:space="preserve"> 12:57:5</t>
  </si>
  <si>
    <t xml:space="preserve"> 12:57:15</t>
  </si>
  <si>
    <t xml:space="preserve"> 12:57:25</t>
  </si>
  <si>
    <t xml:space="preserve"> 12:57:35</t>
  </si>
  <si>
    <t xml:space="preserve"> 12:57:45</t>
  </si>
  <si>
    <t xml:space="preserve"> 12:57:55</t>
  </si>
  <si>
    <t xml:space="preserve"> 12:58:5</t>
  </si>
  <si>
    <t xml:space="preserve"> 12:58:15</t>
  </si>
  <si>
    <t xml:space="preserve"> 12:58:25</t>
  </si>
  <si>
    <t xml:space="preserve"> 12:58:35</t>
  </si>
  <si>
    <t xml:space="preserve"> 12:58:45</t>
  </si>
  <si>
    <t xml:space="preserve"> 12:58:55</t>
  </si>
  <si>
    <t xml:space="preserve"> 12:59:5</t>
  </si>
  <si>
    <t xml:space="preserve"> 12:59:15</t>
  </si>
  <si>
    <t xml:space="preserve"> 12:59:25</t>
  </si>
  <si>
    <t xml:space="preserve"> 12:59:35</t>
  </si>
  <si>
    <t xml:space="preserve"> 12:59:45</t>
  </si>
  <si>
    <t xml:space="preserve"> 12:59:55</t>
  </si>
  <si>
    <t xml:space="preserve"> 13:0:5</t>
  </si>
  <si>
    <t xml:space="preserve"> 13:0:15</t>
  </si>
  <si>
    <t xml:space="preserve"> 13:0:25</t>
  </si>
  <si>
    <t xml:space="preserve"> 13:0:35</t>
  </si>
  <si>
    <t xml:space="preserve"> 13:0:45</t>
  </si>
  <si>
    <t xml:space="preserve"> 13:0:55</t>
  </si>
  <si>
    <t xml:space="preserve"> 13:1:5</t>
  </si>
  <si>
    <t xml:space="preserve"> 13:1:15</t>
  </si>
  <si>
    <t xml:space="preserve"> 13:1:25</t>
  </si>
  <si>
    <t xml:space="preserve"> 13:1:35</t>
  </si>
  <si>
    <t xml:space="preserve"> 13:1:45</t>
  </si>
  <si>
    <t xml:space="preserve"> 13:1:55</t>
  </si>
  <si>
    <t xml:space="preserve"> 13:2:5</t>
  </si>
  <si>
    <t xml:space="preserve"> 13:2:15</t>
  </si>
  <si>
    <t xml:space="preserve"> 13:2:25</t>
  </si>
  <si>
    <t xml:space="preserve"> 13:2:35</t>
  </si>
  <si>
    <t xml:space="preserve"> 13:2:45</t>
  </si>
  <si>
    <t xml:space="preserve"> 13:2:55</t>
  </si>
  <si>
    <t xml:space="preserve"> 13:3:5</t>
  </si>
  <si>
    <t xml:space="preserve"> 13:3:15</t>
  </si>
  <si>
    <t xml:space="preserve"> 13:3:25</t>
  </si>
  <si>
    <t xml:space="preserve"> 13:3:35</t>
  </si>
  <si>
    <t xml:space="preserve"> 13:3:45</t>
  </si>
  <si>
    <t xml:space="preserve"> 13:3:55</t>
  </si>
  <si>
    <t xml:space="preserve"> 13:4:5</t>
  </si>
  <si>
    <t xml:space="preserve"> 13:4:15</t>
  </si>
  <si>
    <t xml:space="preserve"> 13:4:25</t>
  </si>
  <si>
    <t xml:space="preserve"> 13:4:35</t>
  </si>
  <si>
    <t xml:space="preserve"> 13:4:45</t>
  </si>
  <si>
    <t xml:space="preserve"> 13:4:55</t>
  </si>
  <si>
    <t xml:space="preserve"> 13:5:5</t>
  </si>
  <si>
    <t xml:space="preserve"> 13:5:15</t>
  </si>
  <si>
    <t xml:space="preserve"> 13:5:25</t>
  </si>
  <si>
    <t xml:space="preserve"> 13:5:35</t>
  </si>
  <si>
    <t xml:space="preserve"> 13:5:45</t>
  </si>
  <si>
    <t xml:space="preserve"> 13:5:55</t>
  </si>
  <si>
    <t xml:space="preserve"> 13:6:5</t>
  </si>
  <si>
    <t xml:space="preserve"> 13:6:15</t>
  </si>
  <si>
    <t xml:space="preserve"> 13:6:25</t>
  </si>
  <si>
    <t xml:space="preserve"> 13:6:35</t>
  </si>
  <si>
    <t xml:space="preserve"> 13:6:45</t>
  </si>
  <si>
    <t xml:space="preserve"> 13:6:55</t>
  </si>
  <si>
    <t xml:space="preserve"> 13:7:5</t>
  </si>
  <si>
    <t xml:space="preserve"> 13:7:15</t>
  </si>
  <si>
    <t xml:space="preserve"> 13:7:25</t>
  </si>
  <si>
    <t xml:space="preserve"> 13:7:35</t>
  </si>
  <si>
    <t xml:space="preserve"> 13:7:45</t>
  </si>
  <si>
    <t xml:space="preserve"> 13:7:55</t>
  </si>
  <si>
    <t xml:space="preserve"> 13:8:5</t>
  </si>
  <si>
    <t xml:space="preserve"> 13:8:15</t>
  </si>
  <si>
    <t xml:space="preserve"> 13:8:25</t>
  </si>
  <si>
    <t xml:space="preserve"> 13:8:35</t>
  </si>
  <si>
    <t xml:space="preserve"> 13:8:45</t>
  </si>
  <si>
    <t xml:space="preserve"> 13:8:55</t>
  </si>
  <si>
    <t xml:space="preserve"> 13:9:5</t>
  </si>
  <si>
    <t xml:space="preserve"> 13:9:15</t>
  </si>
  <si>
    <t xml:space="preserve"> 13:9:25</t>
  </si>
  <si>
    <t xml:space="preserve"> 13:9:35</t>
  </si>
  <si>
    <t xml:space="preserve"> 13:9:45</t>
  </si>
  <si>
    <t xml:space="preserve"> 13:9:55</t>
  </si>
  <si>
    <t xml:space="preserve"> 13:10:5</t>
  </si>
  <si>
    <t xml:space="preserve"> 13:10:15</t>
  </si>
  <si>
    <t xml:space="preserve"> 13:10:25</t>
  </si>
  <si>
    <t xml:space="preserve"> 13:10:35</t>
  </si>
  <si>
    <t xml:space="preserve"> 13:10:45</t>
  </si>
  <si>
    <t xml:space="preserve"> 13:10:55</t>
  </si>
  <si>
    <t xml:space="preserve"> 13:11:5</t>
  </si>
  <si>
    <t xml:space="preserve"> 13:11:15</t>
  </si>
  <si>
    <t xml:space="preserve"> 13:11:25</t>
  </si>
  <si>
    <t xml:space="preserve"> 13:11:35</t>
  </si>
  <si>
    <t xml:space="preserve"> 13:11:45</t>
  </si>
  <si>
    <t xml:space="preserve"> 13:11:55</t>
  </si>
  <si>
    <t xml:space="preserve"> 13:12:5</t>
  </si>
  <si>
    <t xml:space="preserve"> 13:12:15</t>
  </si>
  <si>
    <t xml:space="preserve"> 13:12:25</t>
  </si>
  <si>
    <t xml:space="preserve"> 13:12:35</t>
  </si>
  <si>
    <t xml:space="preserve"> 13:12:45</t>
  </si>
  <si>
    <t xml:space="preserve"> 13:12:55</t>
  </si>
  <si>
    <t xml:space="preserve"> 13:13:5</t>
  </si>
  <si>
    <t xml:space="preserve"> 13:13:15</t>
  </si>
  <si>
    <t xml:space="preserve"> 13:13:25</t>
  </si>
  <si>
    <t xml:space="preserve"> 13:13:35</t>
  </si>
  <si>
    <t xml:space="preserve"> 13:13:45</t>
  </si>
  <si>
    <t xml:space="preserve"> 13:13:55</t>
  </si>
  <si>
    <t xml:space="preserve"> 13:14:5</t>
  </si>
  <si>
    <t xml:space="preserve"> 13:14:15</t>
  </si>
  <si>
    <t xml:space="preserve"> 13:14:25</t>
  </si>
  <si>
    <t xml:space="preserve"> 13:14:35</t>
  </si>
  <si>
    <t xml:space="preserve"> 13:14:45</t>
  </si>
  <si>
    <t xml:space="preserve"> 13:14:55</t>
  </si>
  <si>
    <t xml:space="preserve"> 13:15:5</t>
  </si>
  <si>
    <t xml:space="preserve"> 13:15:15</t>
  </si>
  <si>
    <t xml:space="preserve"> 13:15:25</t>
  </si>
  <si>
    <t xml:space="preserve"> 13:15:35</t>
  </si>
  <si>
    <t xml:space="preserve"> 13:15:45</t>
  </si>
  <si>
    <t xml:space="preserve"> 13:15:55</t>
  </si>
  <si>
    <t xml:space="preserve"> 13:16:5</t>
  </si>
  <si>
    <t xml:space="preserve"> 13:16:15</t>
  </si>
  <si>
    <t xml:space="preserve"> 13:16:25</t>
  </si>
  <si>
    <t xml:space="preserve"> 13:16:35</t>
  </si>
  <si>
    <t xml:space="preserve"> 13:16:45</t>
  </si>
  <si>
    <t xml:space="preserve"> 13:16:55</t>
  </si>
  <si>
    <t xml:space="preserve"> 13:17:5</t>
  </si>
  <si>
    <t xml:space="preserve"> 13:17:15</t>
  </si>
  <si>
    <t xml:space="preserve"> 13:17:25</t>
  </si>
  <si>
    <t xml:space="preserve"> 13:17:35</t>
  </si>
  <si>
    <t xml:space="preserve"> 13:17:45</t>
  </si>
  <si>
    <t xml:space="preserve"> 13:17:55</t>
  </si>
  <si>
    <t xml:space="preserve"> 13:18:5</t>
  </si>
  <si>
    <t xml:space="preserve"> 13:18:15</t>
  </si>
  <si>
    <t xml:space="preserve"> 13:18:25</t>
  </si>
  <si>
    <t xml:space="preserve"> 13:18:35</t>
  </si>
  <si>
    <t xml:space="preserve"> 13:18:45</t>
  </si>
  <si>
    <t xml:space="preserve"> 13:18:55</t>
  </si>
  <si>
    <t xml:space="preserve"> 13:19:5</t>
  </si>
  <si>
    <t xml:space="preserve"> 13:19:15</t>
  </si>
  <si>
    <t xml:space="preserve"> 13:19:25</t>
  </si>
  <si>
    <t xml:space="preserve"> 13:19:35</t>
  </si>
  <si>
    <t xml:space="preserve"> 13:19:45</t>
  </si>
  <si>
    <t xml:space="preserve"> 13:19:55</t>
  </si>
  <si>
    <t xml:space="preserve"> 13:20:5</t>
  </si>
  <si>
    <t xml:space="preserve"> 13:20:15</t>
  </si>
  <si>
    <t xml:space="preserve"> 13:20:25</t>
  </si>
  <si>
    <t xml:space="preserve"> 13:20:35</t>
  </si>
  <si>
    <t xml:space="preserve"> 13:20:45</t>
  </si>
  <si>
    <t xml:space="preserve"> 13:20:55</t>
  </si>
  <si>
    <t xml:space="preserve"> 13:21:5</t>
  </si>
  <si>
    <t xml:space="preserve"> 13:21:15</t>
  </si>
  <si>
    <t xml:space="preserve"> 13:21:25</t>
  </si>
  <si>
    <t xml:space="preserve"> 13:21:35</t>
  </si>
  <si>
    <t xml:space="preserve"> 13:21:45</t>
  </si>
  <si>
    <t xml:space="preserve"> 13:21:55</t>
  </si>
  <si>
    <t xml:space="preserve"> 13:22:5</t>
  </si>
  <si>
    <t xml:space="preserve"> 13:22:15</t>
  </si>
  <si>
    <t xml:space="preserve"> 13:22:25</t>
  </si>
  <si>
    <t xml:space="preserve"> 13:22:35</t>
  </si>
  <si>
    <t xml:space="preserve"> 13:22:45</t>
  </si>
  <si>
    <t xml:space="preserve"> 13:22:55</t>
  </si>
  <si>
    <t xml:space="preserve"> 13:23:5</t>
  </si>
  <si>
    <t xml:space="preserve"> 13:23:15</t>
  </si>
  <si>
    <t xml:space="preserve"> 13:23:25</t>
  </si>
  <si>
    <t xml:space="preserve"> 13:23:35</t>
  </si>
  <si>
    <t xml:space="preserve"> 13:23:45</t>
  </si>
  <si>
    <t xml:space="preserve"> 13:23:55</t>
  </si>
  <si>
    <t xml:space="preserve"> 13:24:5</t>
  </si>
  <si>
    <t xml:space="preserve"> 13:24:15</t>
  </si>
  <si>
    <t xml:space="preserve"> 13:24:25</t>
  </si>
  <si>
    <t xml:space="preserve"> 13:24:35</t>
  </si>
  <si>
    <t xml:space="preserve"> 13:24:45</t>
  </si>
  <si>
    <t xml:space="preserve"> 13:24:55</t>
  </si>
  <si>
    <t xml:space="preserve"> 13:25:5</t>
  </si>
  <si>
    <t xml:space="preserve"> 13:25:15</t>
  </si>
  <si>
    <t xml:space="preserve"> 13:25:25</t>
  </si>
  <si>
    <t xml:space="preserve"> 13:25:35</t>
  </si>
  <si>
    <t xml:space="preserve"> 13:25:45</t>
  </si>
  <si>
    <t xml:space="preserve"> 13:25:55</t>
  </si>
  <si>
    <t xml:space="preserve"> 13:26:5</t>
  </si>
  <si>
    <t xml:space="preserve"> 13:26:15</t>
  </si>
  <si>
    <t xml:space="preserve"> 13:26:25</t>
  </si>
  <si>
    <t xml:space="preserve"> 13:26:35</t>
  </si>
  <si>
    <t xml:space="preserve"> 13:26:45</t>
  </si>
  <si>
    <t xml:space="preserve"> 13:26:55</t>
  </si>
  <si>
    <t xml:space="preserve"> 13:27:5</t>
  </si>
  <si>
    <t xml:space="preserve"> 13:27:15</t>
  </si>
  <si>
    <t xml:space="preserve"> 13:27:25</t>
  </si>
  <si>
    <t xml:space="preserve"> 13:27:35</t>
  </si>
  <si>
    <t xml:space="preserve"> 13:27:45</t>
  </si>
  <si>
    <t xml:space="preserve"> 13:27:55</t>
  </si>
  <si>
    <t xml:space="preserve"> 13:28:5</t>
  </si>
  <si>
    <t xml:space="preserve"> 13:28:15</t>
  </si>
  <si>
    <t xml:space="preserve"> 13:28:25</t>
  </si>
  <si>
    <t xml:space="preserve"> 13:28:35</t>
  </si>
  <si>
    <t xml:space="preserve"> 13:28:45</t>
  </si>
  <si>
    <t xml:space="preserve"> 13:28:55</t>
  </si>
  <si>
    <t xml:space="preserve"> 13:29:5</t>
  </si>
  <si>
    <t xml:space="preserve"> 13:29:15</t>
  </si>
  <si>
    <t xml:space="preserve"> 13:29:25</t>
  </si>
  <si>
    <t xml:space="preserve"> 13:29:35</t>
  </si>
  <si>
    <t xml:space="preserve"> 13:29:45</t>
  </si>
  <si>
    <t xml:space="preserve"> 13:29:55</t>
  </si>
  <si>
    <t xml:space="preserve"> 13:30:5</t>
  </si>
  <si>
    <t xml:space="preserve"> 13:30:15</t>
  </si>
  <si>
    <t xml:space="preserve"> 13:30:25</t>
  </si>
  <si>
    <t xml:space="preserve"> 13:30:35</t>
  </si>
  <si>
    <t xml:space="preserve"> 13:30:45</t>
  </si>
  <si>
    <t xml:space="preserve"> 13:30:55</t>
  </si>
  <si>
    <t xml:space="preserve"> 13:31:5</t>
  </si>
  <si>
    <t xml:space="preserve"> 13:31:15</t>
  </si>
  <si>
    <t xml:space="preserve"> 13:31:25</t>
  </si>
  <si>
    <t xml:space="preserve"> 13:31:35</t>
  </si>
  <si>
    <t xml:space="preserve"> 13:31:45</t>
  </si>
  <si>
    <t xml:space="preserve"> 13:31:55</t>
  </si>
  <si>
    <t xml:space="preserve"> 13:32:5</t>
  </si>
  <si>
    <t xml:space="preserve"> 13:32:15</t>
  </si>
  <si>
    <t xml:space="preserve"> 13:32:25</t>
  </si>
  <si>
    <t xml:space="preserve"> 13:32:35</t>
  </si>
  <si>
    <t xml:space="preserve"> 13:32:45</t>
  </si>
  <si>
    <t xml:space="preserve"> 13:32:55</t>
  </si>
  <si>
    <t xml:space="preserve"> 13:33:5</t>
  </si>
  <si>
    <t xml:space="preserve"> 13:33:15</t>
  </si>
  <si>
    <t xml:space="preserve"> 13:33:25</t>
  </si>
  <si>
    <t xml:space="preserve"> 13:33:35</t>
  </si>
  <si>
    <t xml:space="preserve"> 13:33:45</t>
  </si>
  <si>
    <t xml:space="preserve"> 13:33:55</t>
  </si>
  <si>
    <t xml:space="preserve"> 13:34:5</t>
  </si>
  <si>
    <t xml:space="preserve"> 13:34:15</t>
  </si>
  <si>
    <t xml:space="preserve"> 13:34:25</t>
  </si>
  <si>
    <t xml:space="preserve"> 13:34:35</t>
  </si>
  <si>
    <t xml:space="preserve"> 13:34:45</t>
  </si>
  <si>
    <t xml:space="preserve"> 13:34:55</t>
  </si>
  <si>
    <t xml:space="preserve"> 13:35:5</t>
  </si>
  <si>
    <t xml:space="preserve"> 13:35:15</t>
  </si>
  <si>
    <t xml:space="preserve"> 13:35:25</t>
  </si>
  <si>
    <t xml:space="preserve"> 13:35:35</t>
  </si>
  <si>
    <t xml:space="preserve"> 13:35:45</t>
  </si>
  <si>
    <t xml:space="preserve"> 13:35:55</t>
  </si>
  <si>
    <t xml:space="preserve"> 13:36:5</t>
  </si>
  <si>
    <t xml:space="preserve"> 13:36:15</t>
  </si>
  <si>
    <t xml:space="preserve"> 13:36:25</t>
  </si>
  <si>
    <t xml:space="preserve"> 13:36:35</t>
  </si>
  <si>
    <t xml:space="preserve"> 13:36:45</t>
  </si>
  <si>
    <t xml:space="preserve"> 13:36:55</t>
  </si>
  <si>
    <t xml:space="preserve"> 13:37:5</t>
  </si>
  <si>
    <t xml:space="preserve"> 13:37:15</t>
  </si>
  <si>
    <t xml:space="preserve"> 13:37:25</t>
  </si>
  <si>
    <t xml:space="preserve"> 13:37:35</t>
  </si>
  <si>
    <t xml:space="preserve"> 13:37:45</t>
  </si>
  <si>
    <t xml:space="preserve"> 13:37:55</t>
  </si>
  <si>
    <t xml:space="preserve"> 13:38:5</t>
  </si>
  <si>
    <t xml:space="preserve"> 13:38:15</t>
  </si>
  <si>
    <t xml:space="preserve"> 13:38:25</t>
  </si>
  <si>
    <t xml:space="preserve"> 13:38:35</t>
  </si>
  <si>
    <t xml:space="preserve"> 13:38:45</t>
  </si>
  <si>
    <t xml:space="preserve"> 13:38:55</t>
  </si>
  <si>
    <t xml:space="preserve"> 13:39:5</t>
  </si>
  <si>
    <t xml:space="preserve"> 13:39:15</t>
  </si>
  <si>
    <t xml:space="preserve"> 13:39:25</t>
  </si>
  <si>
    <t xml:space="preserve"> 13:39:35</t>
  </si>
  <si>
    <t xml:space="preserve"> 13:39:45</t>
  </si>
  <si>
    <t xml:space="preserve"> 13:39:55</t>
  </si>
  <si>
    <t xml:space="preserve"> 13:40:5</t>
  </si>
  <si>
    <t xml:space="preserve"> 13:40:15</t>
  </si>
  <si>
    <t xml:space="preserve"> 13:40:25</t>
  </si>
  <si>
    <t xml:space="preserve"> 13:40:35</t>
  </si>
  <si>
    <t xml:space="preserve"> 13:40:45</t>
  </si>
  <si>
    <t xml:space="preserve"> 13:40:55</t>
  </si>
  <si>
    <t xml:space="preserve"> 13:41:5</t>
  </si>
  <si>
    <t xml:space="preserve"> 13:41:15</t>
  </si>
  <si>
    <t xml:space="preserve"> 13:41:25</t>
  </si>
  <si>
    <t xml:space="preserve"> 13:41:35</t>
  </si>
  <si>
    <t xml:space="preserve"> 13:41:45</t>
  </si>
  <si>
    <t xml:space="preserve"> 13:41:55</t>
  </si>
  <si>
    <t xml:space="preserve"> 13:42:5</t>
  </si>
  <si>
    <t xml:space="preserve"> 13:42:15</t>
  </si>
  <si>
    <t xml:space="preserve"> 13:42:25</t>
  </si>
  <si>
    <t xml:space="preserve"> 13:42:35</t>
  </si>
  <si>
    <t xml:space="preserve"> 13:42:45</t>
  </si>
  <si>
    <t xml:space="preserve"> 13:42:55</t>
  </si>
  <si>
    <t xml:space="preserve"> 13:43:5</t>
  </si>
  <si>
    <t xml:space="preserve"> 13:43:15</t>
  </si>
  <si>
    <t xml:space="preserve"> 13:43:25</t>
  </si>
  <si>
    <t xml:space="preserve"> 13:43:35</t>
  </si>
  <si>
    <t xml:space="preserve"> 13:43:45</t>
  </si>
  <si>
    <t xml:space="preserve"> 13:43:55</t>
  </si>
  <si>
    <t xml:space="preserve"> 13:44:5</t>
  </si>
  <si>
    <t xml:space="preserve"> 13:44:15</t>
  </si>
  <si>
    <t xml:space="preserve"> 13:44:25</t>
  </si>
  <si>
    <t xml:space="preserve"> 13:44:35</t>
  </si>
  <si>
    <t xml:space="preserve"> 13:44:45</t>
  </si>
  <si>
    <t xml:space="preserve"> 13:44:55</t>
  </si>
  <si>
    <t xml:space="preserve"> 13:45:5</t>
  </si>
  <si>
    <t xml:space="preserve"> 13:45:15</t>
  </si>
  <si>
    <t xml:space="preserve"> 13:45:25</t>
  </si>
  <si>
    <t xml:space="preserve"> 13:45:35</t>
  </si>
  <si>
    <t xml:space="preserve"> 13:45:45</t>
  </si>
  <si>
    <t xml:space="preserve"> 13:45:55</t>
  </si>
  <si>
    <t xml:space="preserve"> 13:46:5</t>
  </si>
  <si>
    <t xml:space="preserve"> 13:46:15</t>
  </si>
  <si>
    <t xml:space="preserve"> 13:46:25</t>
  </si>
  <si>
    <t xml:space="preserve"> 13:46:35</t>
  </si>
  <si>
    <t xml:space="preserve"> 13:46:45</t>
  </si>
  <si>
    <t xml:space="preserve"> 13:46:55</t>
  </si>
  <si>
    <t xml:space="preserve"> 13:47:5</t>
  </si>
  <si>
    <t xml:space="preserve"> 13:47:15</t>
  </si>
  <si>
    <t xml:space="preserve"> 13:47:25</t>
  </si>
  <si>
    <t xml:space="preserve"> 13:47:35</t>
  </si>
  <si>
    <t xml:space="preserve"> 13:47:45</t>
  </si>
  <si>
    <t xml:space="preserve"> 13:47:55</t>
  </si>
  <si>
    <t xml:space="preserve"> 13:48:5</t>
  </si>
  <si>
    <t xml:space="preserve"> 13:48:15</t>
  </si>
  <si>
    <t xml:space="preserve"> 13:48:25</t>
  </si>
  <si>
    <t xml:space="preserve"> 13:48:35</t>
  </si>
  <si>
    <t xml:space="preserve"> 13:48:45</t>
  </si>
  <si>
    <t xml:space="preserve"> 13:48:55</t>
  </si>
  <si>
    <t xml:space="preserve"> 13:49:5</t>
  </si>
  <si>
    <t xml:space="preserve"> 13:49:15</t>
  </si>
  <si>
    <t xml:space="preserve"> 13:49:25</t>
  </si>
  <si>
    <t xml:space="preserve"> 13:49:35</t>
  </si>
  <si>
    <t xml:space="preserve"> 13:49:45</t>
  </si>
  <si>
    <t xml:space="preserve"> 13:49:55</t>
  </si>
  <si>
    <t xml:space="preserve"> 13:50:5</t>
  </si>
  <si>
    <t xml:space="preserve"> 13:50:15</t>
  </si>
  <si>
    <t xml:space="preserve"> 13:50:25</t>
  </si>
  <si>
    <t xml:space="preserve"> 13:50:35</t>
  </si>
  <si>
    <t xml:space="preserve"> 13:50:45</t>
  </si>
  <si>
    <t xml:space="preserve"> 13:50:55</t>
  </si>
  <si>
    <t xml:space="preserve"> 13:51:5</t>
  </si>
  <si>
    <t xml:space="preserve"> 13:51:15</t>
  </si>
  <si>
    <t xml:space="preserve"> 13:51:25</t>
  </si>
  <si>
    <t xml:space="preserve"> 13:51:35</t>
  </si>
  <si>
    <t xml:space="preserve"> 13:51:45</t>
  </si>
  <si>
    <t xml:space="preserve"> 13:51:55</t>
  </si>
  <si>
    <t xml:space="preserve"> 13:52:5</t>
  </si>
  <si>
    <t xml:space="preserve"> 13:52:15</t>
  </si>
  <si>
    <t xml:space="preserve"> 13:52:25</t>
  </si>
  <si>
    <t xml:space="preserve"> 13:52:35</t>
  </si>
  <si>
    <t xml:space="preserve"> 13:52:45</t>
  </si>
  <si>
    <t xml:space="preserve"> 13:52:55</t>
  </si>
  <si>
    <t xml:space="preserve"> 13:53:5</t>
  </si>
  <si>
    <t xml:space="preserve"> 13:53:15</t>
  </si>
  <si>
    <t xml:space="preserve"> 13:53:25</t>
  </si>
  <si>
    <t xml:space="preserve"> 13:53:35</t>
  </si>
  <si>
    <t xml:space="preserve"> 13:53:45</t>
  </si>
  <si>
    <t xml:space="preserve"> 13:53:55</t>
  </si>
  <si>
    <t xml:space="preserve"> 13:54:5</t>
  </si>
  <si>
    <t xml:space="preserve"> 13:54:15</t>
  </si>
  <si>
    <t xml:space="preserve"> 13:54:25</t>
  </si>
  <si>
    <t xml:space="preserve"> 13:54:35</t>
  </si>
  <si>
    <t xml:space="preserve"> 13:54:45</t>
  </si>
  <si>
    <t xml:space="preserve"> 13:54:55</t>
  </si>
  <si>
    <t xml:space="preserve"> 13:55:5</t>
  </si>
  <si>
    <t xml:space="preserve"> 13:55:15</t>
  </si>
  <si>
    <t xml:space="preserve"> 13:55:25</t>
  </si>
  <si>
    <t xml:space="preserve"> 13:55:35</t>
  </si>
  <si>
    <t xml:space="preserve"> 13:55:45</t>
  </si>
  <si>
    <t xml:space="preserve"> 13:55:55</t>
  </si>
  <si>
    <t xml:space="preserve"> 13:56:5</t>
  </si>
  <si>
    <t xml:space="preserve"> 13:56:15</t>
  </si>
  <si>
    <t xml:space="preserve"> 13:56:25</t>
  </si>
  <si>
    <t xml:space="preserve"> 13:56:35</t>
  </si>
  <si>
    <t xml:space="preserve"> 13:56:45</t>
  </si>
  <si>
    <t xml:space="preserve"> 13:56:55</t>
  </si>
  <si>
    <t xml:space="preserve"> 13:57:5</t>
  </si>
  <si>
    <t xml:space="preserve"> 13:57:15</t>
  </si>
  <si>
    <t xml:space="preserve"> 13:57:25</t>
  </si>
  <si>
    <t xml:space="preserve"> 13:57:35</t>
  </si>
  <si>
    <t xml:space="preserve"> 13:57:45</t>
  </si>
  <si>
    <t xml:space="preserve"> 13:57:55</t>
  </si>
  <si>
    <t xml:space="preserve"> 13:58:5</t>
  </si>
  <si>
    <t xml:space="preserve"> 13:58:15</t>
  </si>
  <si>
    <t xml:space="preserve"> 13:58:25</t>
  </si>
  <si>
    <t xml:space="preserve"> 13:58:35</t>
  </si>
  <si>
    <t xml:space="preserve"> 13:58:45</t>
  </si>
  <si>
    <t xml:space="preserve"> 13:58:55</t>
  </si>
  <si>
    <t xml:space="preserve"> 13:59:5</t>
  </si>
  <si>
    <t xml:space="preserve"> 13:59:15</t>
  </si>
  <si>
    <t xml:space="preserve"> 13:59:25</t>
  </si>
  <si>
    <t xml:space="preserve"> 13:59:35</t>
  </si>
  <si>
    <t xml:space="preserve"> 13:59:45</t>
  </si>
  <si>
    <t xml:space="preserve"> 13:59:55</t>
  </si>
  <si>
    <t xml:space="preserve"> 14:0:5</t>
  </si>
  <si>
    <t xml:space="preserve"> 14:0:15</t>
  </si>
  <si>
    <t xml:space="preserve"> 14:0:25</t>
  </si>
  <si>
    <t xml:space="preserve"> 14:0:35</t>
  </si>
  <si>
    <t xml:space="preserve"> 14:0:45</t>
  </si>
  <si>
    <t xml:space="preserve"> 14:0:55</t>
  </si>
  <si>
    <t xml:space="preserve"> 14:1:5</t>
  </si>
  <si>
    <t xml:space="preserve"> 14:1:15</t>
  </si>
  <si>
    <t xml:space="preserve"> 14:1:25</t>
  </si>
  <si>
    <t xml:space="preserve"> 14:1:35</t>
  </si>
  <si>
    <t xml:space="preserve"> 14:1:45</t>
  </si>
  <si>
    <t xml:space="preserve"> 14:1:55</t>
  </si>
  <si>
    <t xml:space="preserve"> 14:2:5</t>
  </si>
  <si>
    <t xml:space="preserve"> 14:2:15</t>
  </si>
  <si>
    <t xml:space="preserve"> 14:2:25</t>
  </si>
  <si>
    <t xml:space="preserve"> 14:2:35</t>
  </si>
  <si>
    <t xml:space="preserve"> 14:2:45</t>
  </si>
  <si>
    <t xml:space="preserve"> 14:2:55</t>
  </si>
  <si>
    <t xml:space="preserve"> 14:3:5</t>
  </si>
  <si>
    <t xml:space="preserve"> 14:3:15</t>
  </si>
  <si>
    <t xml:space="preserve"> 14:3:25</t>
  </si>
  <si>
    <t xml:space="preserve"> 14:3:35</t>
  </si>
  <si>
    <t xml:space="preserve"> 14:3:45</t>
  </si>
  <si>
    <t xml:space="preserve"> 14:3:55</t>
  </si>
  <si>
    <t xml:space="preserve"> 14:4:5</t>
  </si>
  <si>
    <t xml:space="preserve"> 14:4:15</t>
  </si>
  <si>
    <t xml:space="preserve"> 14:4:25</t>
  </si>
  <si>
    <t xml:space="preserve"> 14:4:35</t>
  </si>
  <si>
    <t xml:space="preserve"> 14:4:45</t>
  </si>
  <si>
    <t xml:space="preserve"> 14:4:55</t>
  </si>
  <si>
    <t xml:space="preserve"> 14:5:5</t>
  </si>
  <si>
    <t xml:space="preserve"> 14:5:15</t>
  </si>
  <si>
    <t xml:space="preserve"> 14:5:25</t>
  </si>
  <si>
    <t xml:space="preserve"> 14:5:35</t>
  </si>
  <si>
    <t xml:space="preserve"> 14:5:45</t>
  </si>
  <si>
    <t xml:space="preserve"> 14:5:55</t>
  </si>
  <si>
    <t xml:space="preserve"> 14:6:5</t>
  </si>
  <si>
    <t xml:space="preserve"> 14:6:15</t>
  </si>
  <si>
    <t xml:space="preserve"> 14:6:25</t>
  </si>
  <si>
    <t xml:space="preserve"> 14:6:35</t>
  </si>
  <si>
    <t xml:space="preserve"> 14:6:45</t>
  </si>
  <si>
    <t xml:space="preserve"> 14:6:55</t>
  </si>
  <si>
    <t xml:space="preserve"> 14:7:5</t>
  </si>
  <si>
    <t xml:space="preserve"> 14:7:15</t>
  </si>
  <si>
    <t xml:space="preserve"> 14:7:25</t>
  </si>
  <si>
    <t xml:space="preserve"> 14:7:35</t>
  </si>
  <si>
    <t xml:space="preserve"> 14:7:45</t>
  </si>
  <si>
    <t xml:space="preserve"> 14:7:55</t>
  </si>
  <si>
    <t xml:space="preserve"> 14:8:5</t>
  </si>
  <si>
    <t xml:space="preserve"> 14:8:15</t>
  </si>
  <si>
    <t xml:space="preserve"> 14:8:25</t>
  </si>
  <si>
    <t xml:space="preserve"> 14:8:35</t>
  </si>
  <si>
    <t xml:space="preserve"> 14:8:45</t>
  </si>
  <si>
    <t xml:space="preserve"> 14:8:55</t>
  </si>
  <si>
    <t xml:space="preserve"> 14:9:5</t>
  </si>
  <si>
    <t xml:space="preserve"> 14:9:15</t>
  </si>
  <si>
    <t xml:space="preserve"> 14:9:25</t>
  </si>
  <si>
    <t xml:space="preserve"> 14:9:35</t>
  </si>
  <si>
    <t xml:space="preserve"> 14:9:45</t>
  </si>
  <si>
    <t xml:space="preserve"> 14:9:55</t>
  </si>
  <si>
    <t xml:space="preserve"> 14:10:5</t>
  </si>
  <si>
    <t xml:space="preserve"> 14:10:15</t>
  </si>
  <si>
    <t xml:space="preserve"> 14:10:25</t>
  </si>
  <si>
    <t xml:space="preserve"> 14:10:35</t>
  </si>
  <si>
    <t xml:space="preserve"> 14:10:45</t>
  </si>
  <si>
    <t xml:space="preserve"> 14:10:55</t>
  </si>
  <si>
    <t xml:space="preserve"> 14:11:5</t>
  </si>
  <si>
    <t xml:space="preserve"> 14:11:15</t>
  </si>
  <si>
    <t xml:space="preserve"> 14:11:25</t>
  </si>
  <si>
    <t xml:space="preserve"> 14:11:35</t>
  </si>
  <si>
    <t xml:space="preserve"> 14:11:45</t>
  </si>
  <si>
    <t xml:space="preserve"> 14:11:55</t>
  </si>
  <si>
    <t xml:space="preserve"> 14:12:5</t>
  </si>
  <si>
    <t xml:space="preserve"> 14:12:15</t>
  </si>
  <si>
    <t xml:space="preserve"> 14:12:25</t>
  </si>
  <si>
    <t xml:space="preserve"> 14:12:35</t>
  </si>
  <si>
    <t xml:space="preserve"> 14:12:45</t>
  </si>
  <si>
    <t xml:space="preserve"> 14:12:55</t>
  </si>
  <si>
    <t xml:space="preserve"> 14:13:5</t>
  </si>
  <si>
    <t xml:space="preserve"> 14:13:15</t>
  </si>
  <si>
    <t xml:space="preserve"> 14:13:25</t>
  </si>
  <si>
    <t xml:space="preserve"> 14:13:35</t>
  </si>
  <si>
    <t xml:space="preserve"> 14:13:45</t>
  </si>
  <si>
    <t xml:space="preserve"> 14:13:55</t>
  </si>
  <si>
    <t xml:space="preserve"> 14:14:5</t>
  </si>
  <si>
    <t xml:space="preserve"> 14:14:15</t>
  </si>
  <si>
    <t xml:space="preserve"> 14:14:25</t>
  </si>
  <si>
    <t xml:space="preserve"> 14:14:35</t>
  </si>
  <si>
    <t xml:space="preserve"> 14:14:45</t>
  </si>
  <si>
    <t xml:space="preserve"> 14:14:55</t>
  </si>
  <si>
    <t xml:space="preserve"> 14:15:5</t>
  </si>
  <si>
    <t xml:space="preserve"> 14:15:15</t>
  </si>
  <si>
    <t xml:space="preserve"> 14:15:25</t>
  </si>
  <si>
    <t xml:space="preserve"> 14:15:35</t>
  </si>
  <si>
    <t xml:space="preserve"> 14:15:45</t>
  </si>
  <si>
    <t xml:space="preserve"> 14:15:55</t>
  </si>
  <si>
    <t xml:space="preserve"> 14:16:5</t>
  </si>
  <si>
    <t xml:space="preserve"> 14:16:15</t>
  </si>
  <si>
    <t xml:space="preserve"> 14:16:25</t>
  </si>
  <si>
    <t xml:space="preserve"> 14:16:35</t>
  </si>
  <si>
    <t xml:space="preserve"> 14:16:45</t>
  </si>
  <si>
    <t xml:space="preserve"> 14:16:55</t>
  </si>
  <si>
    <t xml:space="preserve"> 14:17:5</t>
  </si>
  <si>
    <t xml:space="preserve"> 14:17:15</t>
  </si>
  <si>
    <t xml:space="preserve"> 14:17:25</t>
  </si>
  <si>
    <t xml:space="preserve"> 14:17:35</t>
  </si>
  <si>
    <t xml:space="preserve"> 14:17:45</t>
  </si>
  <si>
    <t xml:space="preserve"> 14:17:55</t>
  </si>
  <si>
    <t xml:space="preserve"> 14:18:5</t>
  </si>
  <si>
    <t xml:space="preserve"> 14:18:15</t>
  </si>
  <si>
    <t xml:space="preserve"> 14:18:25</t>
  </si>
  <si>
    <t xml:space="preserve"> 14:18:35</t>
  </si>
  <si>
    <t xml:space="preserve"> 14:18:45</t>
  </si>
  <si>
    <t xml:space="preserve"> 14:18:55</t>
  </si>
  <si>
    <t xml:space="preserve"> 14:19:5</t>
  </si>
  <si>
    <t xml:space="preserve"> 14:19:15</t>
  </si>
  <si>
    <t xml:space="preserve"> 14:19:25</t>
  </si>
  <si>
    <t xml:space="preserve"> 14:19:35</t>
  </si>
  <si>
    <t xml:space="preserve"> 14:19:45</t>
  </si>
  <si>
    <t xml:space="preserve"> 14:19:55</t>
  </si>
  <si>
    <t xml:space="preserve"> 14:20:5</t>
  </si>
  <si>
    <t xml:space="preserve"> 14:20:15</t>
  </si>
  <si>
    <t xml:space="preserve"> 14:20:25</t>
  </si>
  <si>
    <t xml:space="preserve"> 14:20:35</t>
  </si>
  <si>
    <t xml:space="preserve"> 14:20:45</t>
  </si>
  <si>
    <t xml:space="preserve"> 14:20:55</t>
  </si>
  <si>
    <t xml:space="preserve"> 14:21:5</t>
  </si>
  <si>
    <t xml:space="preserve"> 14:21:15</t>
  </si>
  <si>
    <t xml:space="preserve"> 14:21:25</t>
  </si>
  <si>
    <t xml:space="preserve"> 14:21:35</t>
  </si>
  <si>
    <t xml:space="preserve"> 14:21:45</t>
  </si>
  <si>
    <t xml:space="preserve"> 14:21:55</t>
  </si>
  <si>
    <t xml:space="preserve"> 14:22:5</t>
  </si>
  <si>
    <t xml:space="preserve"> 14:22:15</t>
  </si>
  <si>
    <t xml:space="preserve"> 14:22:25</t>
  </si>
  <si>
    <t xml:space="preserve"> 14:22:35</t>
  </si>
  <si>
    <t xml:space="preserve"> 14:22:45</t>
  </si>
  <si>
    <t xml:space="preserve"> 14:22:55</t>
  </si>
  <si>
    <t xml:space="preserve"> 14:23:5</t>
  </si>
  <si>
    <t xml:space="preserve"> 14:23:15</t>
  </si>
  <si>
    <t xml:space="preserve"> 14:23:25</t>
  </si>
  <si>
    <t xml:space="preserve"> 14:23:35</t>
  </si>
  <si>
    <t xml:space="preserve"> 14:23:45</t>
  </si>
  <si>
    <t xml:space="preserve"> 14:23:55</t>
  </si>
  <si>
    <t xml:space="preserve"> 14:24:5</t>
  </si>
  <si>
    <t xml:space="preserve"> 14:24:15</t>
  </si>
  <si>
    <t xml:space="preserve"> 14:24:25</t>
  </si>
  <si>
    <t xml:space="preserve"> 14:24:35</t>
  </si>
  <si>
    <t xml:space="preserve"> 14:24:45</t>
  </si>
  <si>
    <t xml:space="preserve"> 14:24:55</t>
  </si>
  <si>
    <t xml:space="preserve"> 14:25:5</t>
  </si>
  <si>
    <t xml:space="preserve"> 14:25:15</t>
  </si>
  <si>
    <t xml:space="preserve"> 14:25:25</t>
  </si>
  <si>
    <t xml:space="preserve"> 14:25:35</t>
  </si>
  <si>
    <t xml:space="preserve"> 14:25:45</t>
  </si>
  <si>
    <t xml:space="preserve"> 14:25:55</t>
  </si>
  <si>
    <t xml:space="preserve"> 14:26:5</t>
  </si>
  <si>
    <t xml:space="preserve"> 14:26:15</t>
  </si>
  <si>
    <t xml:space="preserve"> 14:26:25</t>
  </si>
  <si>
    <t xml:space="preserve"> 14:26:35</t>
  </si>
  <si>
    <t xml:space="preserve"> 14:26:45</t>
  </si>
  <si>
    <t xml:space="preserve"> 14:26:55</t>
  </si>
  <si>
    <t xml:space="preserve"> 14:27:5</t>
  </si>
  <si>
    <t xml:space="preserve"> 14:27:15</t>
  </si>
  <si>
    <t xml:space="preserve"> 14:27:25</t>
  </si>
  <si>
    <t xml:space="preserve"> 14:27:35</t>
  </si>
  <si>
    <t xml:space="preserve"> 14:27:45</t>
  </si>
  <si>
    <t xml:space="preserve"> 14:27:55</t>
  </si>
  <si>
    <t xml:space="preserve"> 14:28:5</t>
  </si>
  <si>
    <t xml:space="preserve"> 14:28:15</t>
  </si>
  <si>
    <t xml:space="preserve"> 14:28:25</t>
  </si>
  <si>
    <t xml:space="preserve"> 14:28:35</t>
  </si>
  <si>
    <t xml:space="preserve"> 14:28:45</t>
  </si>
  <si>
    <t xml:space="preserve"> 14:28:55</t>
  </si>
  <si>
    <t xml:space="preserve"> 14:29:5</t>
  </si>
  <si>
    <t xml:space="preserve"> 14:29:15</t>
  </si>
  <si>
    <t xml:space="preserve"> 14:29:25</t>
  </si>
  <si>
    <t xml:space="preserve"> 14:29:35</t>
  </si>
  <si>
    <t xml:space="preserve"> 14:29:45</t>
  </si>
  <si>
    <t xml:space="preserve"> 14:29:55</t>
  </si>
  <si>
    <t xml:space="preserve"> 14:30:5</t>
  </si>
  <si>
    <t xml:space="preserve"> 14:30:15</t>
  </si>
  <si>
    <t xml:space="preserve"> 14:30:25</t>
  </si>
  <si>
    <t xml:space="preserve"> 14:30:35</t>
  </si>
  <si>
    <t xml:space="preserve"> 14:30:45</t>
  </si>
  <si>
    <t xml:space="preserve"> 14:30:55</t>
  </si>
  <si>
    <t xml:space="preserve"> 14:31:5</t>
  </si>
  <si>
    <t xml:space="preserve"> 14:31:15</t>
  </si>
  <si>
    <t xml:space="preserve"> 14:31:25</t>
  </si>
  <si>
    <t xml:space="preserve"> 14:31:35</t>
  </si>
  <si>
    <t xml:space="preserve"> 14:31:45</t>
  </si>
  <si>
    <t xml:space="preserve"> 14:31:55</t>
  </si>
  <si>
    <t xml:space="preserve"> 14:32:5</t>
  </si>
  <si>
    <t xml:space="preserve"> 14:32:15</t>
  </si>
  <si>
    <t xml:space="preserve"> 14:32:25</t>
  </si>
  <si>
    <t xml:space="preserve"> 14:32:35</t>
  </si>
  <si>
    <t xml:space="preserve"> 14:32:45</t>
  </si>
  <si>
    <t xml:space="preserve"> 14:32:55</t>
  </si>
  <si>
    <t xml:space="preserve"> 14:33:5</t>
  </si>
  <si>
    <t xml:space="preserve"> 14:33:15</t>
  </si>
  <si>
    <t xml:space="preserve"> 14:33:25</t>
  </si>
  <si>
    <t xml:space="preserve"> 14:33:35</t>
  </si>
  <si>
    <t xml:space="preserve"> 14:33:45</t>
  </si>
  <si>
    <t xml:space="preserve"> 14:33:55</t>
  </si>
  <si>
    <t xml:space="preserve"> 14:34:5</t>
  </si>
  <si>
    <t xml:space="preserve"> 14:34:15</t>
  </si>
  <si>
    <t xml:space="preserve"> 14:34:25</t>
  </si>
  <si>
    <t xml:space="preserve"> 14:34:35</t>
  </si>
  <si>
    <t xml:space="preserve"> 14:34:45</t>
  </si>
  <si>
    <t xml:space="preserve"> 14:34:55</t>
  </si>
  <si>
    <t xml:space="preserve"> 14:35:5</t>
  </si>
  <si>
    <t xml:space="preserve"> 14:35:15</t>
  </si>
  <si>
    <t xml:space="preserve"> 14:35:25</t>
  </si>
  <si>
    <t xml:space="preserve"> 14:35:35</t>
  </si>
  <si>
    <t xml:space="preserve"> 14:35:45</t>
  </si>
  <si>
    <t xml:space="preserve"> 14:35:55</t>
  </si>
  <si>
    <t xml:space="preserve"> 14:36:5</t>
  </si>
  <si>
    <t xml:space="preserve"> 14:36:15</t>
  </si>
  <si>
    <t xml:space="preserve"> 14:36:25</t>
  </si>
  <si>
    <t xml:space="preserve"> 14:36:35</t>
  </si>
  <si>
    <t xml:space="preserve"> 14:36:45</t>
  </si>
  <si>
    <t xml:space="preserve"> 14:36:55</t>
  </si>
  <si>
    <t xml:space="preserve"> 14:37:5</t>
  </si>
  <si>
    <t xml:space="preserve"> 14:37:15</t>
  </si>
  <si>
    <t xml:space="preserve"> 14:37:25</t>
  </si>
  <si>
    <t xml:space="preserve"> 14:37:35</t>
  </si>
  <si>
    <t xml:space="preserve"> 14:37:45</t>
  </si>
  <si>
    <t xml:space="preserve"> 14:37:55</t>
  </si>
  <si>
    <t xml:space="preserve"> 14:38:5</t>
  </si>
  <si>
    <t xml:space="preserve"> 14:38:15</t>
  </si>
  <si>
    <t xml:space="preserve"> 14:38:25</t>
  </si>
  <si>
    <t xml:space="preserve"> 14:38:35</t>
  </si>
  <si>
    <t xml:space="preserve"> 14:38:45</t>
  </si>
  <si>
    <t xml:space="preserve"> 14:38:55</t>
  </si>
  <si>
    <t xml:space="preserve"> 14:39:5</t>
  </si>
  <si>
    <t xml:space="preserve"> 14:39:15</t>
  </si>
  <si>
    <t xml:space="preserve"> 14:39:25</t>
  </si>
  <si>
    <t xml:space="preserve"> 14:39:35</t>
  </si>
  <si>
    <t xml:space="preserve"> 14:39:45</t>
  </si>
  <si>
    <t xml:space="preserve"> 14:39:55</t>
  </si>
  <si>
    <t xml:space="preserve"> 14:40:5</t>
  </si>
  <si>
    <t xml:space="preserve"> 14:40:15</t>
  </si>
  <si>
    <t xml:space="preserve"> 14:40:25</t>
  </si>
  <si>
    <t xml:space="preserve"> 14:40:35</t>
  </si>
  <si>
    <t xml:space="preserve"> 14:40:45</t>
  </si>
  <si>
    <t xml:space="preserve"> 14:40:55</t>
  </si>
  <si>
    <t xml:space="preserve"> 14:41:5</t>
  </si>
  <si>
    <t xml:space="preserve"> 14:41:15</t>
  </si>
  <si>
    <t xml:space="preserve"> 14:41:25</t>
  </si>
  <si>
    <t xml:space="preserve"> 14:41:35</t>
  </si>
  <si>
    <t xml:space="preserve"> 14:41:45</t>
  </si>
  <si>
    <t xml:space="preserve"> 14:41:55</t>
  </si>
  <si>
    <t xml:space="preserve"> 14:42:5</t>
  </si>
  <si>
    <t xml:space="preserve"> 14:42:15</t>
  </si>
  <si>
    <t xml:space="preserve"> 14:42:25</t>
  </si>
  <si>
    <t xml:space="preserve"> 14:42:35</t>
  </si>
  <si>
    <t xml:space="preserve"> 14:42:45</t>
  </si>
  <si>
    <t xml:space="preserve"> 14:42:55</t>
  </si>
  <si>
    <t xml:space="preserve"> 14:43:5</t>
  </si>
  <si>
    <t xml:space="preserve"> 14:43:15</t>
  </si>
  <si>
    <t xml:space="preserve"> 14:43:25</t>
  </si>
  <si>
    <t xml:space="preserve"> 14:43:35</t>
  </si>
  <si>
    <t xml:space="preserve"> 14:43:45</t>
  </si>
  <si>
    <t xml:space="preserve"> 14:43:55</t>
  </si>
  <si>
    <t xml:space="preserve"> 14:44:5</t>
  </si>
  <si>
    <t xml:space="preserve"> 14:44:15</t>
  </si>
  <si>
    <t xml:space="preserve"> 14:44:25</t>
  </si>
  <si>
    <t xml:space="preserve"> 14:44:35</t>
  </si>
  <si>
    <t xml:space="preserve"> 14:44:45</t>
  </si>
  <si>
    <t xml:space="preserve"> 14:44:55</t>
  </si>
  <si>
    <t xml:space="preserve"> 14:45:5</t>
  </si>
  <si>
    <t xml:space="preserve"> 14:45:15</t>
  </si>
  <si>
    <t xml:space="preserve"> 14:45:25</t>
  </si>
  <si>
    <t xml:space="preserve"> 14:45:35</t>
  </si>
  <si>
    <t xml:space="preserve"> 14:45:45</t>
  </si>
  <si>
    <t xml:space="preserve"> 14:45:55</t>
  </si>
  <si>
    <t xml:space="preserve"> 14:46:5</t>
  </si>
  <si>
    <t xml:space="preserve"> 14:46:15</t>
  </si>
  <si>
    <t xml:space="preserve"> 14:46:25</t>
  </si>
  <si>
    <t xml:space="preserve"> 14:46:35</t>
  </si>
  <si>
    <t xml:space="preserve"> 14:46:45</t>
  </si>
  <si>
    <t xml:space="preserve"> 14:46:55</t>
  </si>
  <si>
    <t xml:space="preserve"> 14:47:5</t>
  </si>
  <si>
    <t xml:space="preserve"> 14:47:15</t>
  </si>
  <si>
    <t xml:space="preserve"> 14:47:25</t>
  </si>
  <si>
    <t xml:space="preserve"> 14:47:35</t>
  </si>
  <si>
    <t xml:space="preserve"> 14:47:45</t>
  </si>
  <si>
    <t xml:space="preserve"> 14:47:55</t>
  </si>
  <si>
    <t xml:space="preserve"> 14:48:5</t>
  </si>
  <si>
    <t xml:space="preserve"> 14:48:15</t>
  </si>
  <si>
    <t xml:space="preserve"> 14:48:25</t>
  </si>
  <si>
    <t xml:space="preserve"> 14:48:35</t>
  </si>
  <si>
    <t xml:space="preserve"> 14:48:45</t>
  </si>
  <si>
    <t xml:space="preserve"> 14:48:55</t>
  </si>
  <si>
    <t xml:space="preserve"> 14:49:5</t>
  </si>
  <si>
    <t xml:space="preserve"> 14:49:15</t>
  </si>
  <si>
    <t xml:space="preserve"> 14:49:25</t>
  </si>
  <si>
    <t xml:space="preserve"> 14:49:35</t>
  </si>
  <si>
    <t xml:space="preserve"> 14:49:45</t>
  </si>
  <si>
    <t xml:space="preserve"> 14:49:55</t>
  </si>
  <si>
    <t xml:space="preserve"> 14:50:5</t>
  </si>
  <si>
    <t xml:space="preserve"> 14:50:15</t>
  </si>
  <si>
    <t xml:space="preserve"> 14:50:25</t>
  </si>
  <si>
    <t xml:space="preserve"> 14:50:35</t>
  </si>
  <si>
    <t xml:space="preserve"> 14:50:45</t>
  </si>
  <si>
    <t xml:space="preserve"> 14:50:55</t>
  </si>
  <si>
    <t xml:space="preserve"> 14:51:5</t>
  </si>
  <si>
    <t xml:space="preserve"> 14:51:15</t>
  </si>
  <si>
    <t xml:space="preserve"> 14:51:25</t>
  </si>
  <si>
    <t xml:space="preserve"> 14:51:35</t>
  </si>
  <si>
    <t xml:space="preserve"> 14:51:45</t>
  </si>
  <si>
    <t xml:space="preserve"> 14:51:55</t>
  </si>
  <si>
    <t xml:space="preserve"> 14:52:5</t>
  </si>
  <si>
    <t xml:space="preserve"> 14:52:15</t>
  </si>
  <si>
    <t xml:space="preserve"> 14:52:25</t>
  </si>
  <si>
    <t xml:space="preserve"> 14:52:35</t>
  </si>
  <si>
    <t xml:space="preserve"> 14:52:45</t>
  </si>
  <si>
    <t xml:space="preserve"> 14:52:55</t>
  </si>
  <si>
    <t xml:space="preserve"> 14:53:5</t>
  </si>
  <si>
    <t xml:space="preserve"> 14:53:15</t>
  </si>
  <si>
    <t xml:space="preserve"> 14:53:25</t>
  </si>
  <si>
    <t xml:space="preserve"> 14:53:35</t>
  </si>
  <si>
    <t xml:space="preserve"> 14:53:45</t>
  </si>
  <si>
    <t xml:space="preserve"> 14:53:55</t>
  </si>
  <si>
    <t xml:space="preserve"> 14:54:5</t>
  </si>
  <si>
    <t xml:space="preserve"> 14:54:15</t>
  </si>
  <si>
    <t xml:space="preserve"> 14:54:25</t>
  </si>
  <si>
    <t xml:space="preserve"> 14:54:35</t>
  </si>
  <si>
    <t xml:space="preserve"> 14:54:45</t>
  </si>
  <si>
    <t xml:space="preserve"> 14:54:55</t>
  </si>
  <si>
    <t xml:space="preserve"> 14:55:5</t>
  </si>
  <si>
    <t xml:space="preserve"> 14:55:15</t>
  </si>
  <si>
    <t xml:space="preserve"> 14:55:25</t>
  </si>
  <si>
    <t xml:space="preserve"> 14:55:35</t>
  </si>
  <si>
    <t xml:space="preserve"> 14:55:45</t>
  </si>
  <si>
    <t xml:space="preserve"> 14:55:55</t>
  </si>
  <si>
    <t xml:space="preserve"> 14:56:5</t>
  </si>
  <si>
    <t xml:space="preserve"> 14:56:15</t>
  </si>
  <si>
    <t xml:space="preserve"> 14:56:25</t>
  </si>
  <si>
    <t xml:space="preserve"> 14:56:35</t>
  </si>
  <si>
    <t xml:space="preserve"> 14:56:45</t>
  </si>
  <si>
    <t xml:space="preserve"> 14:56:55</t>
  </si>
  <si>
    <t xml:space="preserve"> 14:57:5</t>
  </si>
  <si>
    <t xml:space="preserve"> 14:57:15</t>
  </si>
  <si>
    <t xml:space="preserve"> 14:57:25</t>
  </si>
  <si>
    <t xml:space="preserve"> 14:57:35</t>
  </si>
  <si>
    <t xml:space="preserve"> 14:57:45</t>
  </si>
  <si>
    <t xml:space="preserve"> 14:57:55</t>
  </si>
  <si>
    <t xml:space="preserve"> 14:58:5</t>
  </si>
  <si>
    <t xml:space="preserve"> 14:58:15</t>
  </si>
  <si>
    <t xml:space="preserve"> 14:58:25</t>
  </si>
  <si>
    <t xml:space="preserve"> 14:58:35</t>
  </si>
  <si>
    <t xml:space="preserve"> 14:58:45</t>
  </si>
  <si>
    <t xml:space="preserve"> 14:58:55</t>
  </si>
  <si>
    <t xml:space="preserve"> 14:59:5</t>
  </si>
  <si>
    <t xml:space="preserve"> 14:59:15</t>
  </si>
  <si>
    <t xml:space="preserve"> 14:59:25</t>
  </si>
  <si>
    <t xml:space="preserve"> 14:59:35</t>
  </si>
  <si>
    <t xml:space="preserve"> 14:59:45</t>
  </si>
  <si>
    <t xml:space="preserve"> 14:59:55</t>
  </si>
  <si>
    <t xml:space="preserve"> 15:0:5</t>
  </si>
  <si>
    <t xml:space="preserve"> 15:0:15</t>
  </si>
  <si>
    <t xml:space="preserve"> 15:0:25</t>
  </si>
  <si>
    <t xml:space="preserve"> 15:0:35</t>
  </si>
  <si>
    <t xml:space="preserve"> 15:0:45</t>
  </si>
  <si>
    <t xml:space="preserve"> 15:0:55</t>
  </si>
  <si>
    <t xml:space="preserve"> 15:1:5</t>
  </si>
  <si>
    <t xml:space="preserve"> 15:1:15</t>
  </si>
  <si>
    <t xml:space="preserve"> 15:1:25</t>
  </si>
  <si>
    <t xml:space="preserve"> 15:1:35</t>
  </si>
  <si>
    <t xml:space="preserve"> 15:1:45</t>
  </si>
  <si>
    <t xml:space="preserve"> 15:1:55</t>
  </si>
  <si>
    <t xml:space="preserve"> 15:2:5</t>
  </si>
  <si>
    <t xml:space="preserve"> 15:2:15</t>
  </si>
  <si>
    <t xml:space="preserve"> 15:2:25</t>
  </si>
  <si>
    <t xml:space="preserve"> 15:2:35</t>
  </si>
  <si>
    <t xml:space="preserve"> 15:2:45</t>
  </si>
  <si>
    <t xml:space="preserve"> 15:2:55</t>
  </si>
  <si>
    <t xml:space="preserve"> 15:3:5</t>
  </si>
  <si>
    <t xml:space="preserve"> 15:3:15</t>
  </si>
  <si>
    <t xml:space="preserve"> 15:3:25</t>
  </si>
  <si>
    <t xml:space="preserve"> 15:3:35</t>
  </si>
  <si>
    <t xml:space="preserve"> 15:3:45</t>
  </si>
  <si>
    <t xml:space="preserve"> 15:3:55</t>
  </si>
  <si>
    <t xml:space="preserve"> 15:4:5</t>
  </si>
  <si>
    <t xml:space="preserve"> 15:4:15</t>
  </si>
  <si>
    <t xml:space="preserve"> 15:4:25</t>
  </si>
  <si>
    <t xml:space="preserve"> 15:4:35</t>
  </si>
  <si>
    <t xml:space="preserve"> 15:4:45</t>
  </si>
  <si>
    <t xml:space="preserve"> 15:4:55</t>
  </si>
  <si>
    <t xml:space="preserve"> 15:5:5</t>
  </si>
  <si>
    <t xml:space="preserve"> 15:5:15</t>
  </si>
  <si>
    <t xml:space="preserve"> 15:5:25</t>
  </si>
  <si>
    <t xml:space="preserve"> 15:5:35</t>
  </si>
  <si>
    <t xml:space="preserve"> 15:5:45</t>
  </si>
  <si>
    <t xml:space="preserve"> 15:5:55</t>
  </si>
  <si>
    <t xml:space="preserve"> 15:6:5</t>
  </si>
  <si>
    <t xml:space="preserve"> 15:6:15</t>
  </si>
  <si>
    <t xml:space="preserve"> 15:6:25</t>
  </si>
  <si>
    <t xml:space="preserve"> 15:6:35</t>
  </si>
  <si>
    <t xml:space="preserve"> 15:6:45</t>
  </si>
  <si>
    <t xml:space="preserve"> 15:6:55</t>
  </si>
  <si>
    <t xml:space="preserve"> 15:7:5</t>
  </si>
  <si>
    <t xml:space="preserve"> 15:7:15</t>
  </si>
  <si>
    <t xml:space="preserve"> 15:7:25</t>
  </si>
  <si>
    <t xml:space="preserve"> 15:7:35</t>
  </si>
  <si>
    <t xml:space="preserve"> 15:7:45</t>
  </si>
  <si>
    <t xml:space="preserve"> 15:7:55</t>
  </si>
  <si>
    <t xml:space="preserve"> 15:8:5</t>
  </si>
  <si>
    <t xml:space="preserve"> 15:8:15</t>
  </si>
  <si>
    <t xml:space="preserve"> 15:8:25</t>
  </si>
  <si>
    <t xml:space="preserve"> 15:8:35</t>
  </si>
  <si>
    <t xml:space="preserve"> 15:8:45</t>
  </si>
  <si>
    <t xml:space="preserve"> 15:8:55</t>
  </si>
  <si>
    <t xml:space="preserve"> 15:9:5</t>
  </si>
  <si>
    <t xml:space="preserve"> 15:9:15</t>
  </si>
  <si>
    <t xml:space="preserve"> 15:9:25</t>
  </si>
  <si>
    <t xml:space="preserve"> 15:9:35</t>
  </si>
  <si>
    <t xml:space="preserve"> 15:9:45</t>
  </si>
  <si>
    <t xml:space="preserve"> 15:9:55</t>
  </si>
  <si>
    <t xml:space="preserve"> 15:10:5</t>
  </si>
  <si>
    <t xml:space="preserve"> 15:10:15</t>
  </si>
  <si>
    <t xml:space="preserve"> 15:10:25</t>
  </si>
  <si>
    <t xml:space="preserve"> 15:10:35</t>
  </si>
  <si>
    <t xml:space="preserve"> 15:10:45</t>
  </si>
  <si>
    <t xml:space="preserve"> 15:10:55</t>
  </si>
  <si>
    <t xml:space="preserve"> 15:11:5</t>
  </si>
  <si>
    <t xml:space="preserve"> 15:11:15</t>
  </si>
  <si>
    <t xml:space="preserve"> 15:11:25</t>
  </si>
  <si>
    <t xml:space="preserve"> 15:11:35</t>
  </si>
  <si>
    <t xml:space="preserve"> 15:11:45</t>
  </si>
  <si>
    <t xml:space="preserve"> 15:11:55</t>
  </si>
  <si>
    <t xml:space="preserve"> 15:12:5</t>
  </si>
  <si>
    <t xml:space="preserve"> 15:12:15</t>
  </si>
  <si>
    <t xml:space="preserve"> 15:12:25</t>
  </si>
  <si>
    <t xml:space="preserve"> 15:12:35</t>
  </si>
  <si>
    <t xml:space="preserve"> 15:12:45</t>
  </si>
  <si>
    <t xml:space="preserve"> 15:12:55</t>
  </si>
  <si>
    <t xml:space="preserve"> 15:13:5</t>
  </si>
  <si>
    <t xml:space="preserve"> 15:13:15</t>
  </si>
  <si>
    <t xml:space="preserve"> 15:13:25</t>
  </si>
  <si>
    <t xml:space="preserve"> 15:13:35</t>
  </si>
  <si>
    <t xml:space="preserve"> 15:13:45</t>
  </si>
  <si>
    <t xml:space="preserve"> 15:13:55</t>
  </si>
  <si>
    <t xml:space="preserve"> 15:14:5</t>
  </si>
  <si>
    <t xml:space="preserve"> 15:14:15</t>
  </si>
  <si>
    <t xml:space="preserve"> 15:14:25</t>
  </si>
  <si>
    <t xml:space="preserve"> 15:14:35</t>
  </si>
  <si>
    <t xml:space="preserve"> 15:14:45</t>
  </si>
  <si>
    <t xml:space="preserve"> 15:14:55</t>
  </si>
  <si>
    <t xml:space="preserve"> 15:15:5</t>
  </si>
  <si>
    <t xml:space="preserve"> 15:15:15</t>
  </si>
  <si>
    <t xml:space="preserve"> 15:15:25</t>
  </si>
  <si>
    <t xml:space="preserve"> 15:15:35</t>
  </si>
  <si>
    <t xml:space="preserve"> 15:15:45</t>
  </si>
  <si>
    <t xml:space="preserve"> 15:15:55</t>
  </si>
  <si>
    <t xml:space="preserve"> 15:16:5</t>
  </si>
  <si>
    <t xml:space="preserve"> 15:16:15</t>
  </si>
  <si>
    <t xml:space="preserve"> 15:16:25</t>
  </si>
  <si>
    <t xml:space="preserve"> 15:16:35</t>
  </si>
  <si>
    <t xml:space="preserve"> 15:16:45</t>
  </si>
  <si>
    <t xml:space="preserve"> 15:16:55</t>
  </si>
  <si>
    <t xml:space="preserve"> 15:17:5</t>
  </si>
  <si>
    <t xml:space="preserve"> 15:17:15</t>
  </si>
  <si>
    <t xml:space="preserve"> 15:17:25</t>
  </si>
  <si>
    <t xml:space="preserve"> 15:17:35</t>
  </si>
  <si>
    <t xml:space="preserve"> 15:17:45</t>
  </si>
  <si>
    <t xml:space="preserve"> 15:17:55</t>
  </si>
  <si>
    <t xml:space="preserve"> 15:18:5</t>
  </si>
  <si>
    <t xml:space="preserve"> 15:18:15</t>
  </si>
  <si>
    <t xml:space="preserve"> 15:18:25</t>
  </si>
  <si>
    <t xml:space="preserve"> 15:18:35</t>
  </si>
  <si>
    <t xml:space="preserve"> 15:18:45</t>
  </si>
  <si>
    <t xml:space="preserve"> 15:18:55</t>
  </si>
  <si>
    <t xml:space="preserve"> 15:19:5</t>
  </si>
  <si>
    <t xml:space="preserve"> 15:19:15</t>
  </si>
  <si>
    <t xml:space="preserve"> 15:19:25</t>
  </si>
  <si>
    <t xml:space="preserve"> 15:19:35</t>
  </si>
  <si>
    <t xml:space="preserve"> 15:19:45</t>
  </si>
  <si>
    <t xml:space="preserve"> 15:19:55</t>
  </si>
  <si>
    <t xml:space="preserve"> 15:20:5</t>
  </si>
  <si>
    <t xml:space="preserve"> 15:20:15</t>
  </si>
  <si>
    <t xml:space="preserve"> 15:20:25</t>
  </si>
  <si>
    <t xml:space="preserve"> 15:20:35</t>
  </si>
  <si>
    <t xml:space="preserve"> 15:20:45</t>
  </si>
  <si>
    <t xml:space="preserve"> 15:20:55</t>
  </si>
  <si>
    <t xml:space="preserve"> 15:21:5</t>
  </si>
  <si>
    <t xml:space="preserve"> 15:21:15</t>
  </si>
  <si>
    <t xml:space="preserve"> 15:21:25</t>
  </si>
  <si>
    <t xml:space="preserve"> 15:21:35</t>
  </si>
  <si>
    <t xml:space="preserve"> 15:21:45</t>
  </si>
  <si>
    <t xml:space="preserve"> 15:21:55</t>
  </si>
  <si>
    <t xml:space="preserve"> 15:22:5</t>
  </si>
  <si>
    <t xml:space="preserve"> 15:22:15</t>
  </si>
  <si>
    <t xml:space="preserve"> 15:22:25</t>
  </si>
  <si>
    <t xml:space="preserve"> 15:22:35</t>
  </si>
  <si>
    <t xml:space="preserve"> 15:22:45</t>
  </si>
  <si>
    <t xml:space="preserve"> 15:22:55</t>
  </si>
  <si>
    <t xml:space="preserve"> 15:23:5</t>
  </si>
  <si>
    <t xml:space="preserve"> 15:23:15</t>
  </si>
  <si>
    <t xml:space="preserve"> 15:23:25</t>
  </si>
  <si>
    <t xml:space="preserve"> 15:23:35</t>
  </si>
  <si>
    <t xml:space="preserve"> 15:23:45</t>
  </si>
  <si>
    <t xml:space="preserve"> 15:23:55</t>
  </si>
  <si>
    <t xml:space="preserve"> 15:24:5</t>
  </si>
  <si>
    <t xml:space="preserve"> 15:24:15</t>
  </si>
  <si>
    <t xml:space="preserve"> 15:24:25</t>
  </si>
  <si>
    <t xml:space="preserve"> 15:24:35</t>
  </si>
  <si>
    <t xml:space="preserve"> 15:24:45</t>
  </si>
  <si>
    <t xml:space="preserve"> 15:24:55</t>
  </si>
  <si>
    <t xml:space="preserve"> 15:25:5</t>
  </si>
  <si>
    <t xml:space="preserve"> 15:25:15</t>
  </si>
  <si>
    <t xml:space="preserve"> 15:25:25</t>
  </si>
  <si>
    <t xml:space="preserve"> 15:25:35</t>
  </si>
  <si>
    <t xml:space="preserve"> 15:25:45</t>
  </si>
  <si>
    <t xml:space="preserve"> 15:25:55</t>
  </si>
  <si>
    <t xml:space="preserve"> 15:26:5</t>
  </si>
  <si>
    <t xml:space="preserve"> 15:26:15</t>
  </si>
  <si>
    <t xml:space="preserve"> 15:26:25</t>
  </si>
  <si>
    <t xml:space="preserve"> 15:26:35</t>
  </si>
  <si>
    <t xml:space="preserve"> 15:26:45</t>
  </si>
  <si>
    <t xml:space="preserve"> 15:26:55</t>
  </si>
  <si>
    <t xml:space="preserve"> 15:27:5</t>
  </si>
  <si>
    <t xml:space="preserve"> 15:27:15</t>
  </si>
  <si>
    <t xml:space="preserve"> 15:27:25</t>
  </si>
  <si>
    <t xml:space="preserve"> 15:27:35</t>
  </si>
  <si>
    <t xml:space="preserve"> 15:27:45</t>
  </si>
  <si>
    <t xml:space="preserve"> 15:27:55</t>
  </si>
  <si>
    <t xml:space="preserve"> 15:28:5</t>
  </si>
  <si>
    <t xml:space="preserve"> 15:28:15</t>
  </si>
  <si>
    <t xml:space="preserve"> 15:28:25</t>
  </si>
  <si>
    <t xml:space="preserve"> 15:28:35</t>
  </si>
  <si>
    <t xml:space="preserve"> 15:28:45</t>
  </si>
  <si>
    <t xml:space="preserve"> 15:28:55</t>
  </si>
  <si>
    <t xml:space="preserve"> 15:29:5</t>
  </si>
  <si>
    <t xml:space="preserve"> 15:29:15</t>
  </si>
  <si>
    <t xml:space="preserve"> 15:29:25</t>
  </si>
  <si>
    <t xml:space="preserve"> 15:29:35</t>
  </si>
  <si>
    <t xml:space="preserve"> 15:29:45</t>
  </si>
  <si>
    <t xml:space="preserve"> 15:29:55</t>
  </si>
  <si>
    <t xml:space="preserve"> 15:30:5</t>
  </si>
  <si>
    <t xml:space="preserve"> 15:30:15</t>
  </si>
  <si>
    <t xml:space="preserve"> 15:30:25</t>
  </si>
  <si>
    <t xml:space="preserve"> 15:30:35</t>
  </si>
  <si>
    <t xml:space="preserve"> 15:30:45</t>
  </si>
  <si>
    <t xml:space="preserve"> 15:30:55</t>
  </si>
  <si>
    <t xml:space="preserve"> 15:31:5</t>
  </si>
  <si>
    <t xml:space="preserve"> 15:31:15</t>
  </si>
  <si>
    <t xml:space="preserve"> 15:31:25</t>
  </si>
  <si>
    <t xml:space="preserve"> 15:31:35</t>
  </si>
  <si>
    <t xml:space="preserve"> 15:31:45</t>
  </si>
  <si>
    <t xml:space="preserve"> 15:31:55</t>
  </si>
  <si>
    <t xml:space="preserve"> 15:32:5</t>
  </si>
  <si>
    <t xml:space="preserve"> 15:32:15</t>
  </si>
  <si>
    <t xml:space="preserve"> 15:32:25</t>
  </si>
  <si>
    <t xml:space="preserve"> 15:32:35</t>
  </si>
  <si>
    <t xml:space="preserve"> 15:32:45</t>
  </si>
  <si>
    <t xml:space="preserve"> 15:32:55</t>
  </si>
  <si>
    <t xml:space="preserve"> 15:33:5</t>
  </si>
  <si>
    <t xml:space="preserve"> 15:33:15</t>
  </si>
  <si>
    <t xml:space="preserve"> 15:33:25</t>
  </si>
  <si>
    <t xml:space="preserve"> 15:33:35</t>
  </si>
  <si>
    <t xml:space="preserve"> 15:33:45</t>
  </si>
  <si>
    <t xml:space="preserve"> 15:33:55</t>
  </si>
  <si>
    <t xml:space="preserve"> 15:34:5</t>
  </si>
  <si>
    <t xml:space="preserve"> 15:34:15</t>
  </si>
  <si>
    <t xml:space="preserve"> 15:34:25</t>
  </si>
  <si>
    <t xml:space="preserve"> 15:34:35</t>
  </si>
  <si>
    <t xml:space="preserve"> 15:34:45</t>
  </si>
  <si>
    <t xml:space="preserve"> 15:34:55</t>
  </si>
  <si>
    <t xml:space="preserve"> 15:35:5</t>
  </si>
  <si>
    <t xml:space="preserve"> 15:35:15</t>
  </si>
  <si>
    <t xml:space="preserve"> 15:35:25</t>
  </si>
  <si>
    <t xml:space="preserve"> 15:35:35</t>
  </si>
  <si>
    <t xml:space="preserve"> 15:35:45</t>
  </si>
  <si>
    <t xml:space="preserve"> 15:35:55</t>
  </si>
  <si>
    <t xml:space="preserve"> 15:36:5</t>
  </si>
  <si>
    <t xml:space="preserve"> 15:36:15</t>
  </si>
  <si>
    <t xml:space="preserve"> 15:36:25</t>
  </si>
  <si>
    <t xml:space="preserve"> 15:36:35</t>
  </si>
  <si>
    <t xml:space="preserve"> 15:36:45</t>
  </si>
  <si>
    <t xml:space="preserve"> 15:36:55</t>
  </si>
  <si>
    <t xml:space="preserve"> 15:37:5</t>
  </si>
  <si>
    <t xml:space="preserve"> 15:37:15</t>
  </si>
  <si>
    <t xml:space="preserve"> 15:37:25</t>
  </si>
  <si>
    <t xml:space="preserve"> 15:37:35</t>
  </si>
  <si>
    <t xml:space="preserve"> 15:37:45</t>
  </si>
  <si>
    <t xml:space="preserve"> 15:37:55</t>
  </si>
  <si>
    <t xml:space="preserve"> 15:38:5</t>
  </si>
  <si>
    <t xml:space="preserve"> 15:38:15</t>
  </si>
  <si>
    <t xml:space="preserve"> 15:38:25</t>
  </si>
  <si>
    <t xml:space="preserve"> 15:38:35</t>
  </si>
  <si>
    <t xml:space="preserve"> 15:38:45</t>
  </si>
  <si>
    <t xml:space="preserve"> 15:38:55</t>
  </si>
  <si>
    <t xml:space="preserve"> 15:39:5</t>
  </si>
  <si>
    <t xml:space="preserve"> 15:39:15</t>
  </si>
  <si>
    <t xml:space="preserve"> 15:39:25</t>
  </si>
  <si>
    <t xml:space="preserve"> 15:39:35</t>
  </si>
  <si>
    <t xml:space="preserve"> 15:39:45</t>
  </si>
  <si>
    <t xml:space="preserve"> 15:39:55</t>
  </si>
  <si>
    <t xml:space="preserve"> 15:40:5</t>
  </si>
  <si>
    <t xml:space="preserve"> 15:40:15</t>
  </si>
  <si>
    <t xml:space="preserve"> 15:40:25</t>
  </si>
  <si>
    <t xml:space="preserve"> 15:40:35</t>
  </si>
  <si>
    <t xml:space="preserve"> 15:40:45</t>
  </si>
  <si>
    <t xml:space="preserve"> 15:40:55</t>
  </si>
  <si>
    <t xml:space="preserve"> 15:41:5</t>
  </si>
  <si>
    <t xml:space="preserve"> 15:41:15</t>
  </si>
  <si>
    <t xml:space="preserve"> 15:41:25</t>
  </si>
  <si>
    <t xml:space="preserve"> 15:41:35</t>
  </si>
  <si>
    <t xml:space="preserve"> 15:41:45</t>
  </si>
  <si>
    <t xml:space="preserve"> 15:41:55</t>
  </si>
  <si>
    <t>A001</t>
  </si>
  <si>
    <t>MTR S/N:</t>
  </si>
  <si>
    <t>date
(dd/mm/yy)</t>
  </si>
  <si>
    <t>time
(hh:mm:ss)</t>
  </si>
  <si>
    <t>Calibration Date:</t>
  </si>
  <si>
    <t xml:space="preserve"> 3/31/2015</t>
  </si>
  <si>
    <r>
      <t>Nominal Temp (Uncalibrated)
(</t>
    </r>
    <r>
      <rPr>
        <b/>
        <vertAlign val="superscript"/>
        <sz val="8"/>
        <rFont val="Symbol"/>
        <family val="1"/>
        <charset val="2"/>
      </rPr>
      <t>o</t>
    </r>
    <r>
      <rPr>
        <b/>
        <sz val="10"/>
        <rFont val="Arial"/>
        <family val="2"/>
      </rPr>
      <t>C)</t>
    </r>
  </si>
  <si>
    <t>ADC Value
(counts)</t>
  </si>
  <si>
    <t>Voltage (V)</t>
  </si>
  <si>
    <t>Data File:</t>
  </si>
  <si>
    <t>Average ADC Value (Counts)</t>
  </si>
  <si>
    <t>AA =</t>
  </si>
  <si>
    <t>BB =</t>
  </si>
  <si>
    <t>CC =</t>
  </si>
  <si>
    <r>
      <t>Ref Temp (Set Point) (</t>
    </r>
    <r>
      <rPr>
        <b/>
        <sz val="10"/>
        <rFont val="Calibri"/>
        <family val="2"/>
      </rPr>
      <t>°</t>
    </r>
    <r>
      <rPr>
        <b/>
        <sz val="10"/>
        <rFont val="Arial"/>
        <family val="2"/>
      </rPr>
      <t>C)</t>
    </r>
  </si>
  <si>
    <t>Start Time</t>
  </si>
  <si>
    <t>End Time</t>
  </si>
  <si>
    <t>Average SBE Probe Temp (°C)</t>
  </si>
  <si>
    <t>StDev of Probe Temp (°C)</t>
  </si>
  <si>
    <t>Average Bath Temp (°C)</t>
  </si>
  <si>
    <t>StDev of Bath Temp (°C)</t>
  </si>
  <si>
    <r>
      <t>Difference (SBE Probe - Bath Temp) (</t>
    </r>
    <r>
      <rPr>
        <b/>
        <sz val="10"/>
        <rFont val="Calibri"/>
        <family val="2"/>
      </rPr>
      <t>°</t>
    </r>
    <r>
      <rPr>
        <b/>
        <sz val="10"/>
        <rFont val="Arial"/>
        <family val="2"/>
      </rPr>
      <t>C)</t>
    </r>
  </si>
  <si>
    <t>Average MTR Resistance (Ohms)</t>
  </si>
  <si>
    <t>MTR Resistance StDev (Ohms)</t>
  </si>
  <si>
    <t>ADC Value StDev (Counts)</t>
  </si>
  <si>
    <t>Steinhart-Hart Coefficients</t>
  </si>
  <si>
    <t>Residual Error (°C)</t>
  </si>
  <si>
    <t>Calibrated MTR Temperature (°C)</t>
  </si>
  <si>
    <r>
      <t>Ref Temp</t>
    </r>
    <r>
      <rPr>
        <b/>
        <sz val="10"/>
        <rFont val="Arial"/>
        <family val="2"/>
      </rPr>
      <t xml:space="preserve">       </t>
    </r>
    <r>
      <rPr>
        <b/>
        <u/>
        <sz val="10"/>
        <rFont val="Arial"/>
        <family val="2"/>
      </rPr>
      <t xml:space="preserve"> (Set Point) (°C)</t>
    </r>
  </si>
  <si>
    <t>Max Residual Error (°C)</t>
  </si>
  <si>
    <t>Standard Error (°C)</t>
  </si>
  <si>
    <t xml:space="preserve">Maximum Residual = </t>
  </si>
  <si>
    <t xml:space="preserve">Standard Error = </t>
  </si>
  <si>
    <t>Summary of Calibration Results</t>
  </si>
  <si>
    <t>S/N:</t>
  </si>
  <si>
    <t>TB115090</t>
  </si>
  <si>
    <t>Calibration File</t>
  </si>
  <si>
    <t>Calibration Info:</t>
  </si>
  <si>
    <t xml:space="preserve">Calibration Date: </t>
  </si>
  <si>
    <t xml:space="preserve">Calibration File Name: </t>
  </si>
  <si>
    <t>MTR A001 Low Temp Calibration - Prototype Test</t>
  </si>
  <si>
    <t>Date</t>
  </si>
  <si>
    <t>Cal File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</si>
</sst>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0">
    <numFmt numFmtId="164" formatCode="#0.00000"/>
    <numFmt numFmtId="165" formatCode="0.0000000E+00"/>
    <numFmt numFmtId="166" formatCode="dd\-mmm\-yy"/>
    <numFmt numFmtId="167" formatCode="dd/mm/yy\ hh:mm:ss"/>
    <numFmt numFmtId="168" formatCode="#0"/>
    <numFmt numFmtId="169" formatCode="0.0"/>
    <numFmt numFmtId="170" formatCode="0.00000"/>
    <numFmt numFmtId="171" formatCode="0.00000E+00"/>
    <numFmt numFmtId="172" formatCode="0.000000"/>
    <numFmt numFmtId="173" formatCode="0.000000000"/>
    <numFmt numFmtId="174" formatCode="0.0000E+00"/>
    <numFmt numFmtId="175" formatCode="d\-mmm\-yyyy"/>
    <numFmt numFmtId="176" formatCode="0.00000000000000E+00"/>
    <numFmt numFmtId="177" formatCode="0.0000"/>
    <numFmt numFmtId="178" formatCode="0.000"/>
    <numFmt numFmtId="179" formatCode="mm/dd/yyyy\ hh:mm:ss"/>
    <numFmt numFmtId="180" formatCode="dd/mm/yyyy\ hh:mm:ss"/>
    <numFmt numFmtId="181" formatCode="#0.000"/>
    <numFmt numFmtId="182" formatCode="0.000000E+00"/>
    <numFmt numFmtId="183" formatCode="0.000000000E+00"/>
  </numFmts>
  <fonts count="14">
    <font>
      <sz val="10"/>
      <name val="Arial"/>
    </font>
    <font>
      <sz val="10"/>
      <name val="Arial"/>
      <family val="2"/>
    </font>
    <font>
      <sz val="10"/>
      <name val="Geneva"/>
      <family val="2"/>
    </font>
    <font>
      <sz val="12"/>
      <name val="Monaco"/>
      <family val="3"/>
    </font>
    <font>
      <b/>
      <sz val="10"/>
      <name val="Geneva"/>
      <family val="2"/>
    </font>
    <font>
      <b/>
      <sz val="10"/>
      <name val="Arial"/>
      <family val="2"/>
    </font>
    <font>
      <b/>
      <u/>
      <sz val="10"/>
      <name val="Arial"/>
      <family val="2"/>
    </font>
    <font>
      <sz val="10"/>
      <name val="Arial"/>
      <family val="2"/>
    </font>
    <font>
      <sz val="8"/>
      <name val="Tahoma"/>
      <family val="2"/>
    </font>
    <font>
      <b/>
      <vertAlign val="superscript"/>
      <sz val="8"/>
      <name val="Symbol"/>
      <family val="1"/>
      <charset val="2"/>
    </font>
    <font>
      <b/>
      <sz val="14"/>
      <name val="Arial"/>
      <family val="2"/>
    </font>
    <font>
      <sz val="10"/>
      <color indexed="10"/>
      <name val="Arial"/>
      <family val="2"/>
    </font>
    <font>
      <b/>
      <i/>
      <sz val="10"/>
      <name val="Arial"/>
      <family val="2"/>
    </font>
    <font>
      <b/>
      <sz val="1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indexed="4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7" fillId="0" borderId="0"/>
  </cellStyleXfs>
  <cellXfs count="243">
    <xf numFmtId="0" fontId="0" fillId="0" borderId="0" xfId="0"/>
    <xf numFmtId="0" fontId="2" fillId="0" borderId="0" xfId="4"/>
    <xf numFmtId="169" fontId="0" fillId="0" borderId="0" xfId="0" applyNumberFormat="1" applyAlignment="1">
      <alignment horizontal="center"/>
    </xf>
    <xf numFmtId="0" fontId="3" fillId="0" borderId="0" xfId="4" applyFont="1"/>
    <xf numFmtId="0" fontId="3" fillId="0" borderId="0" xfId="5" applyFont="1"/>
    <xf numFmtId="0" fontId="4" fillId="0" borderId="0" xfId="4" applyFont="1" applyBorder="1" applyAlignment="1">
      <alignment horizontal="center"/>
    </xf>
    <xf numFmtId="174" fontId="4" fillId="0" borderId="0" xfId="4" applyNumberFormat="1" applyFont="1" applyBorder="1" applyAlignment="1">
      <alignment horizontal="center"/>
    </xf>
    <xf numFmtId="0" fontId="4" fillId="0" borderId="0" xfId="4" applyFont="1" applyAlignment="1">
      <alignment horizontal="center"/>
    </xf>
    <xf numFmtId="0" fontId="2" fillId="0" borderId="0" xfId="4" applyAlignment="1">
      <alignment horizontal="center"/>
    </xf>
    <xf numFmtId="0" fontId="1" fillId="0" borderId="0" xfId="9"/>
    <xf numFmtId="174" fontId="2" fillId="0" borderId="0" xfId="4" applyNumberFormat="1" applyAlignment="1">
      <alignment horizontal="center"/>
    </xf>
    <xf numFmtId="15" fontId="2" fillId="0" borderId="0" xfId="4" applyNumberFormat="1"/>
    <xf numFmtId="0" fontId="2" fillId="0" borderId="0" xfId="4" applyBorder="1"/>
    <xf numFmtId="0" fontId="2" fillId="0" borderId="0" xfId="4" applyBorder="1" applyAlignment="1">
      <alignment horizontal="center"/>
    </xf>
    <xf numFmtId="174" fontId="2" fillId="0" borderId="0" xfId="4" applyNumberFormat="1" applyBorder="1" applyAlignment="1">
      <alignment horizontal="center"/>
    </xf>
    <xf numFmtId="15" fontId="2" fillId="0" borderId="0" xfId="4" applyNumberFormat="1" applyBorder="1"/>
    <xf numFmtId="0" fontId="2" fillId="0" borderId="0" xfId="4" applyFont="1" applyBorder="1"/>
    <xf numFmtId="0" fontId="2" fillId="0" borderId="0" xfId="6" applyBorder="1" applyAlignment="1">
      <alignment horizontal="center"/>
    </xf>
    <xf numFmtId="174" fontId="2" fillId="0" borderId="0" xfId="6" applyNumberFormat="1" applyBorder="1" applyAlignment="1">
      <alignment horizontal="center"/>
    </xf>
    <xf numFmtId="0" fontId="2" fillId="0" borderId="0" xfId="6" applyBorder="1"/>
    <xf numFmtId="0" fontId="1" fillId="0" borderId="0" xfId="2"/>
    <xf numFmtId="0" fontId="2" fillId="0" borderId="0" xfId="6" applyAlignment="1">
      <alignment horizontal="center"/>
    </xf>
    <xf numFmtId="174" fontId="2" fillId="0" borderId="0" xfId="6" applyNumberFormat="1" applyAlignment="1">
      <alignment horizontal="center"/>
    </xf>
    <xf numFmtId="0" fontId="2" fillId="0" borderId="0" xfId="6"/>
    <xf numFmtId="174" fontId="1" fillId="0" borderId="0" xfId="9" applyNumberFormat="1" applyAlignment="1">
      <alignment horizontal="center"/>
    </xf>
    <xf numFmtId="0" fontId="2" fillId="0" borderId="0" xfId="4" applyFont="1"/>
    <xf numFmtId="11" fontId="1" fillId="0" borderId="0" xfId="9" applyNumberFormat="1"/>
    <xf numFmtId="0" fontId="2" fillId="0" borderId="0" xfId="7"/>
    <xf numFmtId="11" fontId="1" fillId="0" borderId="0" xfId="9" applyNumberFormat="1" applyAlignment="1">
      <alignment horizontal="center"/>
    </xf>
    <xf numFmtId="0" fontId="2" fillId="0" borderId="0" xfId="4" applyFont="1" applyAlignment="1">
      <alignment horizontal="center"/>
    </xf>
    <xf numFmtId="174" fontId="1" fillId="0" borderId="0" xfId="8" applyNumberFormat="1" applyBorder="1" applyAlignment="1">
      <alignment horizontal="center"/>
    </xf>
    <xf numFmtId="0" fontId="2" fillId="0" borderId="0" xfId="3" applyFont="1"/>
    <xf numFmtId="0" fontId="1" fillId="0" borderId="0" xfId="1"/>
    <xf numFmtId="0" fontId="1" fillId="0" borderId="0" xfId="3"/>
    <xf numFmtId="0" fontId="2" fillId="0" borderId="0" xfId="3" applyFont="1" applyAlignment="1">
      <alignment horizontal="center"/>
    </xf>
    <xf numFmtId="174" fontId="2" fillId="0" borderId="0" xfId="3" applyNumberFormat="1" applyFont="1" applyAlignment="1">
      <alignment horizontal="center"/>
    </xf>
    <xf numFmtId="165" fontId="2" fillId="0" borderId="0" xfId="4" applyNumberFormat="1" applyAlignment="1">
      <alignment horizontal="center"/>
    </xf>
    <xf numFmtId="166" fontId="2" fillId="0" borderId="0" xfId="4" applyNumberFormat="1" applyFont="1" applyBorder="1"/>
    <xf numFmtId="166" fontId="2" fillId="0" borderId="0" xfId="4" applyNumberFormat="1" applyFont="1"/>
    <xf numFmtId="174" fontId="2" fillId="0" borderId="0" xfId="4" applyNumberFormat="1" applyFill="1" applyAlignment="1">
      <alignment horizontal="center"/>
    </xf>
    <xf numFmtId="174" fontId="2" fillId="0" borderId="0" xfId="4" applyNumberFormat="1" applyFill="1" applyBorder="1" applyAlignment="1">
      <alignment horizontal="center"/>
    </xf>
    <xf numFmtId="15" fontId="2" fillId="0" borderId="0" xfId="4" applyNumberFormat="1" applyFont="1"/>
    <xf numFmtId="167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167" fontId="5" fillId="0" borderId="0" xfId="0" applyNumberFormat="1" applyFont="1" applyAlignment="1">
      <alignment horizontal="center" wrapText="1"/>
    </xf>
    <xf numFmtId="164" fontId="5" fillId="0" borderId="0" xfId="0" applyNumberFormat="1" applyFont="1" applyAlignment="1">
      <alignment horizontal="center" wrapText="1"/>
    </xf>
    <xf numFmtId="168" fontId="5" fillId="0" borderId="0" xfId="0" applyNumberFormat="1" applyFont="1" applyAlignment="1">
      <alignment horizontal="center" wrapText="1"/>
    </xf>
    <xf numFmtId="0" fontId="5" fillId="0" borderId="0" xfId="0" applyFont="1" applyAlignment="1">
      <alignment horizontal="center"/>
    </xf>
    <xf numFmtId="0" fontId="2" fillId="0" borderId="0" xfId="6" applyFont="1"/>
    <xf numFmtId="0" fontId="2" fillId="0" borderId="0" xfId="4" applyFont="1" applyAlignment="1"/>
    <xf numFmtId="0" fontId="2" fillId="0" borderId="0" xfId="4" applyFont="1" applyBorder="1" applyAlignment="1"/>
    <xf numFmtId="171" fontId="4" fillId="0" borderId="0" xfId="4" applyNumberFormat="1" applyFont="1" applyBorder="1" applyAlignment="1">
      <alignment horizontal="center"/>
    </xf>
    <xf numFmtId="171" fontId="2" fillId="0" borderId="0" xfId="4" applyNumberFormat="1" applyAlignment="1">
      <alignment horizontal="center"/>
    </xf>
    <xf numFmtId="171" fontId="2" fillId="0" borderId="0" xfId="4" applyNumberFormat="1" applyBorder="1" applyAlignment="1">
      <alignment horizontal="center"/>
    </xf>
    <xf numFmtId="171" fontId="2" fillId="0" borderId="0" xfId="6" applyNumberFormat="1" applyBorder="1" applyAlignment="1">
      <alignment horizontal="center"/>
    </xf>
    <xf numFmtId="171" fontId="2" fillId="0" borderId="0" xfId="6" applyNumberFormat="1" applyAlignment="1">
      <alignment horizontal="center"/>
    </xf>
    <xf numFmtId="171" fontId="2" fillId="0" borderId="0" xfId="3" applyNumberFormat="1" applyFont="1" applyAlignment="1">
      <alignment horizontal="center"/>
    </xf>
    <xf numFmtId="175" fontId="4" fillId="0" borderId="0" xfId="4" applyNumberFormat="1" applyFont="1" applyBorder="1" applyAlignment="1">
      <alignment horizontal="center"/>
    </xf>
    <xf numFmtId="175" fontId="2" fillId="0" borderId="0" xfId="4" applyNumberFormat="1" applyAlignment="1">
      <alignment horizontal="center"/>
    </xf>
    <xf numFmtId="175" fontId="2" fillId="0" borderId="0" xfId="4" applyNumberFormat="1" applyFont="1" applyAlignment="1">
      <alignment horizontal="center"/>
    </xf>
    <xf numFmtId="175" fontId="2" fillId="0" borderId="0" xfId="4" applyNumberFormat="1" applyBorder="1" applyAlignment="1">
      <alignment horizontal="center"/>
    </xf>
    <xf numFmtId="175" fontId="2" fillId="0" borderId="0" xfId="4" applyNumberFormat="1" applyFill="1" applyAlignment="1">
      <alignment horizontal="center"/>
    </xf>
    <xf numFmtId="175" fontId="2" fillId="0" borderId="0" xfId="6" applyNumberFormat="1" applyBorder="1" applyAlignment="1">
      <alignment horizontal="center"/>
    </xf>
    <xf numFmtId="175" fontId="2" fillId="0" borderId="0" xfId="6" applyNumberFormat="1" applyAlignment="1">
      <alignment horizontal="center"/>
    </xf>
    <xf numFmtId="175" fontId="1" fillId="0" borderId="0" xfId="9" applyNumberFormat="1" applyAlignment="1">
      <alignment horizontal="center"/>
    </xf>
    <xf numFmtId="175" fontId="2" fillId="0" borderId="0" xfId="4" applyNumberFormat="1" applyFont="1"/>
    <xf numFmtId="175" fontId="2" fillId="0" borderId="0" xfId="3" applyNumberFormat="1" applyFont="1" applyAlignment="1">
      <alignment horizontal="center"/>
    </xf>
    <xf numFmtId="0" fontId="2" fillId="2" borderId="0" xfId="4" applyFill="1" applyBorder="1" applyAlignment="1">
      <alignment horizontal="center"/>
    </xf>
    <xf numFmtId="174" fontId="2" fillId="2" borderId="0" xfId="4" applyNumberFormat="1" applyFill="1" applyBorder="1" applyAlignment="1">
      <alignment horizontal="center"/>
    </xf>
    <xf numFmtId="175" fontId="2" fillId="2" borderId="0" xfId="4" applyNumberFormat="1" applyFill="1" applyAlignment="1">
      <alignment horizontal="center"/>
    </xf>
    <xf numFmtId="15" fontId="2" fillId="2" borderId="0" xfId="4" applyNumberFormat="1" applyFont="1" applyFill="1"/>
    <xf numFmtId="171" fontId="2" fillId="2" borderId="0" xfId="4" applyNumberFormat="1" applyFill="1" applyAlignment="1">
      <alignment horizontal="center"/>
    </xf>
    <xf numFmtId="0" fontId="2" fillId="2" borderId="0" xfId="4" applyFont="1" applyFill="1" applyAlignment="1"/>
    <xf numFmtId="0" fontId="2" fillId="0" borderId="0" xfId="4" applyFill="1" applyBorder="1" applyAlignment="1">
      <alignment horizontal="center"/>
    </xf>
    <xf numFmtId="15" fontId="2" fillId="0" borderId="0" xfId="4" applyNumberFormat="1" applyFont="1" applyFill="1"/>
    <xf numFmtId="171" fontId="2" fillId="0" borderId="0" xfId="4" applyNumberFormat="1" applyFill="1" applyAlignment="1">
      <alignment horizontal="center"/>
    </xf>
    <xf numFmtId="0" fontId="2" fillId="0" borderId="0" xfId="4" applyFont="1" applyFill="1" applyAlignment="1"/>
    <xf numFmtId="0" fontId="2" fillId="0" borderId="0" xfId="4" applyFill="1"/>
    <xf numFmtId="0" fontId="3" fillId="0" borderId="0" xfId="4" applyFont="1" applyFill="1"/>
    <xf numFmtId="1" fontId="0" fillId="0" borderId="0" xfId="0" applyNumberFormat="1" applyFill="1" applyAlignment="1">
      <alignment horizontal="center"/>
    </xf>
    <xf numFmtId="0" fontId="2" fillId="0" borderId="0" xfId="4" applyFill="1" applyAlignment="1">
      <alignment horizontal="center"/>
    </xf>
    <xf numFmtId="0" fontId="0" fillId="0" borderId="0" xfId="0" applyFill="1"/>
    <xf numFmtId="0" fontId="6" fillId="0" borderId="0" xfId="0" applyFont="1" applyFill="1" applyAlignment="1">
      <alignment horizontal="center"/>
    </xf>
    <xf numFmtId="0" fontId="0" fillId="0" borderId="0" xfId="0" applyFill="1" applyAlignment="1">
      <alignment horizontal="right"/>
    </xf>
    <xf numFmtId="0" fontId="3" fillId="0" borderId="0" xfId="5" applyFont="1" applyFill="1"/>
    <xf numFmtId="11" fontId="0" fillId="0" borderId="0" xfId="0" applyNumberFormat="1"/>
    <xf numFmtId="173" fontId="0" fillId="0" borderId="0" xfId="0" applyNumberFormat="1" applyAlignment="1">
      <alignment horizontal="center"/>
    </xf>
    <xf numFmtId="173" fontId="0" fillId="2" borderId="0" xfId="0" applyNumberFormat="1" applyFill="1" applyAlignment="1">
      <alignment horizontal="center"/>
    </xf>
    <xf numFmtId="11" fontId="0" fillId="2" borderId="0" xfId="0" applyNumberFormat="1" applyFill="1"/>
    <xf numFmtId="170" fontId="5" fillId="2" borderId="0" xfId="0" applyNumberFormat="1" applyFont="1" applyFill="1" applyAlignment="1">
      <alignment horizontal="left"/>
    </xf>
    <xf numFmtId="170" fontId="7" fillId="2" borderId="0" xfId="0" applyNumberFormat="1" applyFont="1" applyFill="1" applyAlignment="1">
      <alignment horizontal="left"/>
    </xf>
    <xf numFmtId="174" fontId="2" fillId="2" borderId="0" xfId="4" applyNumberFormat="1" applyFill="1" applyAlignment="1">
      <alignment horizontal="center"/>
    </xf>
    <xf numFmtId="0" fontId="7" fillId="0" borderId="0" xfId="0" applyFont="1" applyAlignment="1">
      <alignment horizontal="center"/>
    </xf>
    <xf numFmtId="0" fontId="7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5" fillId="0" borderId="0" xfId="0" applyFont="1" applyFill="1" applyAlignment="1">
      <alignment horizontal="center"/>
    </xf>
    <xf numFmtId="0" fontId="5" fillId="0" borderId="0" xfId="0" applyFont="1" applyFill="1" applyBorder="1"/>
    <xf numFmtId="0" fontId="6" fillId="0" borderId="0" xfId="0" applyFont="1" applyFill="1" applyBorder="1" applyAlignment="1">
      <alignment horizontal="center"/>
    </xf>
    <xf numFmtId="0" fontId="0" fillId="0" borderId="0" xfId="0" applyFill="1" applyBorder="1"/>
    <xf numFmtId="1" fontId="0" fillId="0" borderId="0" xfId="0" applyNumberFormat="1" applyFill="1" applyBorder="1" applyAlignment="1">
      <alignment horizontal="left"/>
    </xf>
    <xf numFmtId="0" fontId="0" fillId="0" borderId="0" xfId="0" applyFill="1" applyBorder="1" applyAlignment="1">
      <alignment horizontal="left"/>
    </xf>
    <xf numFmtId="0" fontId="0" fillId="0" borderId="0" xfId="0" applyFill="1" applyBorder="1" applyAlignment="1">
      <alignment horizontal="center"/>
    </xf>
    <xf numFmtId="0" fontId="3" fillId="0" borderId="0" xfId="4" applyFont="1" applyFill="1" applyBorder="1"/>
    <xf numFmtId="0" fontId="3" fillId="0" borderId="0" xfId="5" applyFont="1" applyFill="1" applyBorder="1"/>
    <xf numFmtId="172" fontId="5" fillId="0" borderId="0" xfId="0" applyNumberFormat="1" applyFont="1" applyAlignment="1">
      <alignment horizontal="center"/>
    </xf>
    <xf numFmtId="0" fontId="5" fillId="0" borderId="0" xfId="0" applyFont="1" applyFill="1"/>
    <xf numFmtId="176" fontId="0" fillId="0" borderId="0" xfId="0" applyNumberFormat="1" applyFill="1" applyAlignment="1">
      <alignment horizontal="center"/>
    </xf>
    <xf numFmtId="177" fontId="7" fillId="0" borderId="0" xfId="0" applyNumberFormat="1" applyFont="1" applyAlignment="1">
      <alignment horizontal="right"/>
    </xf>
    <xf numFmtId="164" fontId="7" fillId="0" borderId="0" xfId="0" applyNumberFormat="1" applyFont="1" applyAlignment="1">
      <alignment horizontal="center"/>
    </xf>
    <xf numFmtId="2" fontId="0" fillId="0" borderId="0" xfId="0" applyNumberFormat="1" applyAlignment="1">
      <alignment horizontal="center"/>
    </xf>
    <xf numFmtId="0" fontId="7" fillId="0" borderId="0" xfId="10"/>
    <xf numFmtId="178" fontId="7" fillId="0" borderId="0" xfId="10" applyNumberFormat="1"/>
    <xf numFmtId="0" fontId="7" fillId="0" borderId="0" xfId="10" applyAlignment="1">
      <alignment horizontal="left"/>
    </xf>
    <xf numFmtId="179" fontId="7" fillId="0" borderId="0" xfId="10" applyNumberFormat="1"/>
    <xf numFmtId="169" fontId="5" fillId="0" borderId="0" xfId="10" applyNumberFormat="1" applyFont="1" applyAlignment="1">
      <alignment horizontal="center"/>
    </xf>
    <xf numFmtId="177" fontId="7" fillId="0" borderId="0" xfId="10" applyNumberFormat="1"/>
    <xf numFmtId="180" fontId="7" fillId="0" borderId="0" xfId="10" applyNumberFormat="1" applyAlignment="1">
      <alignment horizontal="center"/>
    </xf>
    <xf numFmtId="0" fontId="10" fillId="0" borderId="0" xfId="10" applyFont="1"/>
    <xf numFmtId="181" fontId="7" fillId="0" borderId="0" xfId="10" applyNumberFormat="1" applyAlignment="1">
      <alignment horizontal="center"/>
    </xf>
    <xf numFmtId="164" fontId="7" fillId="0" borderId="0" xfId="10" applyNumberFormat="1" applyAlignment="1">
      <alignment horizontal="center"/>
    </xf>
    <xf numFmtId="172" fontId="7" fillId="0" borderId="0" xfId="10" applyNumberFormat="1" applyAlignment="1">
      <alignment horizontal="center"/>
    </xf>
    <xf numFmtId="1" fontId="7" fillId="0" borderId="0" xfId="10" applyNumberFormat="1" applyAlignment="1">
      <alignment horizontal="center"/>
    </xf>
    <xf numFmtId="0" fontId="7" fillId="0" borderId="0" xfId="10" applyAlignment="1">
      <alignment horizontal="center"/>
    </xf>
    <xf numFmtId="172" fontId="7" fillId="0" borderId="0" xfId="10" applyNumberFormat="1"/>
    <xf numFmtId="172" fontId="11" fillId="0" borderId="0" xfId="10" applyNumberFormat="1" applyFont="1"/>
    <xf numFmtId="0" fontId="5" fillId="0" borderId="0" xfId="10" applyFont="1"/>
    <xf numFmtId="0" fontId="7" fillId="0" borderId="0" xfId="10" applyFill="1"/>
    <xf numFmtId="176" fontId="7" fillId="0" borderId="0" xfId="10" applyNumberFormat="1" applyAlignment="1">
      <alignment horizontal="center"/>
    </xf>
    <xf numFmtId="0" fontId="6" fillId="0" borderId="0" xfId="10" applyFont="1" applyAlignment="1">
      <alignment horizontal="center"/>
    </xf>
    <xf numFmtId="179" fontId="7" fillId="0" borderId="0" xfId="10" applyNumberFormat="1" applyAlignment="1">
      <alignment horizontal="center"/>
    </xf>
    <xf numFmtId="172" fontId="7" fillId="0" borderId="0" xfId="10" applyNumberFormat="1" applyFill="1" applyAlignment="1">
      <alignment horizontal="center"/>
    </xf>
    <xf numFmtId="0" fontId="7" fillId="0" borderId="0" xfId="10" applyFill="1" applyAlignment="1">
      <alignment horizontal="center"/>
    </xf>
    <xf numFmtId="172" fontId="7" fillId="0" borderId="0" xfId="10" applyNumberFormat="1" applyAlignment="1">
      <alignment horizontal="left"/>
    </xf>
    <xf numFmtId="172" fontId="7" fillId="0" borderId="0" xfId="10" applyNumberFormat="1" applyFill="1"/>
    <xf numFmtId="172" fontId="5" fillId="0" borderId="0" xfId="10" applyNumberFormat="1" applyFont="1"/>
    <xf numFmtId="0" fontId="5" fillId="0" borderId="0" xfId="0" applyFont="1" applyAlignment="1">
      <alignment horizontal="right"/>
    </xf>
    <xf numFmtId="178" fontId="5" fillId="0" borderId="0" xfId="0" applyNumberFormat="1" applyFont="1" applyAlignment="1">
      <alignment horizontal="center"/>
    </xf>
    <xf numFmtId="182" fontId="7" fillId="0" borderId="0" xfId="10" applyNumberFormat="1" applyAlignment="1">
      <alignment horizontal="left"/>
    </xf>
    <xf numFmtId="167" fontId="1" fillId="0" borderId="0" xfId="0" applyNumberFormat="1" applyFont="1" applyAlignment="1">
      <alignment horizontal="center"/>
    </xf>
    <xf numFmtId="177" fontId="0" fillId="0" borderId="0" xfId="0" applyNumberFormat="1"/>
    <xf numFmtId="177" fontId="0" fillId="3" borderId="0" xfId="0" applyNumberFormat="1" applyFill="1"/>
    <xf numFmtId="168" fontId="0" fillId="3" borderId="0" xfId="0" applyNumberFormat="1" applyFill="1" applyAlignment="1">
      <alignment horizontal="center"/>
    </xf>
    <xf numFmtId="164" fontId="0" fillId="3" borderId="0" xfId="0" applyNumberFormat="1" applyFill="1" applyAlignment="1">
      <alignment horizontal="center"/>
    </xf>
    <xf numFmtId="21" fontId="0" fillId="0" borderId="0" xfId="0" applyNumberFormat="1" applyAlignment="1">
      <alignment horizontal="right"/>
    </xf>
    <xf numFmtId="21" fontId="0" fillId="3" borderId="0" xfId="0" applyNumberFormat="1" applyFill="1" applyAlignment="1">
      <alignment horizontal="right"/>
    </xf>
    <xf numFmtId="167" fontId="0" fillId="0" borderId="0" xfId="0" applyNumberFormat="1" applyAlignment="1">
      <alignment horizontal="right"/>
    </xf>
    <xf numFmtId="0" fontId="1" fillId="0" borderId="0" xfId="0" applyFont="1" applyAlignment="1">
      <alignment horizontal="left" vertical="top"/>
    </xf>
    <xf numFmtId="169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0" fontId="12" fillId="0" borderId="0" xfId="0" applyFont="1" applyAlignment="1">
      <alignment horizontal="left" vertical="top" wrapText="1"/>
    </xf>
    <xf numFmtId="0" fontId="12" fillId="0" borderId="0" xfId="0" applyFont="1" applyAlignment="1">
      <alignment horizontal="left" vertical="top"/>
    </xf>
    <xf numFmtId="21" fontId="1" fillId="0" borderId="0" xfId="0" applyNumberFormat="1" applyFont="1" applyAlignment="1">
      <alignment horizontal="right"/>
    </xf>
    <xf numFmtId="170" fontId="0" fillId="0" borderId="0" xfId="0" applyNumberFormat="1" applyAlignment="1">
      <alignment horizontal="center"/>
    </xf>
    <xf numFmtId="170" fontId="5" fillId="0" borderId="0" xfId="0" applyNumberFormat="1" applyFont="1" applyAlignment="1">
      <alignment horizontal="center" wrapText="1"/>
    </xf>
    <xf numFmtId="169" fontId="5" fillId="0" borderId="1" xfId="0" applyNumberFormat="1" applyFont="1" applyBorder="1" applyAlignment="1">
      <alignment horizontal="center"/>
    </xf>
    <xf numFmtId="169" fontId="0" fillId="0" borderId="1" xfId="0" applyNumberFormat="1" applyBorder="1" applyAlignment="1">
      <alignment horizontal="center"/>
    </xf>
    <xf numFmtId="169" fontId="0" fillId="4" borderId="1" xfId="0" applyNumberFormat="1" applyFill="1" applyBorder="1" applyAlignment="1">
      <alignment horizontal="center"/>
    </xf>
    <xf numFmtId="0" fontId="5" fillId="0" borderId="1" xfId="0" applyFont="1" applyBorder="1" applyAlignment="1">
      <alignment horizontal="center" wrapText="1"/>
    </xf>
    <xf numFmtId="0" fontId="0" fillId="0" borderId="1" xfId="0" applyBorder="1"/>
    <xf numFmtId="0" fontId="0" fillId="4" borderId="1" xfId="0" applyFill="1" applyBorder="1"/>
    <xf numFmtId="0" fontId="5" fillId="0" borderId="0" xfId="10" applyFont="1" applyFill="1"/>
    <xf numFmtId="176" fontId="7" fillId="0" borderId="0" xfId="10" applyNumberFormat="1" applyFill="1" applyAlignment="1">
      <alignment horizontal="center"/>
    </xf>
    <xf numFmtId="1" fontId="7" fillId="0" borderId="0" xfId="10" applyNumberFormat="1" applyAlignment="1">
      <alignment horizontal="right"/>
    </xf>
    <xf numFmtId="0" fontId="7" fillId="0" borderId="0" xfId="10" applyAlignment="1">
      <alignment horizontal="right"/>
    </xf>
    <xf numFmtId="0" fontId="6" fillId="0" borderId="0" xfId="10" applyFont="1" applyAlignment="1">
      <alignment horizontal="right"/>
    </xf>
    <xf numFmtId="0" fontId="7" fillId="0" borderId="0" xfId="10" applyFill="1" applyAlignment="1">
      <alignment horizontal="right"/>
    </xf>
    <xf numFmtId="180" fontId="7" fillId="0" borderId="1" xfId="10" applyNumberFormat="1" applyBorder="1" applyAlignment="1">
      <alignment horizontal="center"/>
    </xf>
    <xf numFmtId="177" fontId="7" fillId="0" borderId="1" xfId="10" applyNumberFormat="1" applyBorder="1" applyAlignment="1">
      <alignment horizontal="center"/>
    </xf>
    <xf numFmtId="0" fontId="5" fillId="0" borderId="1" xfId="10" applyFont="1" applyBorder="1" applyAlignment="1">
      <alignment horizontal="center"/>
    </xf>
    <xf numFmtId="0" fontId="7" fillId="0" borderId="1" xfId="10" applyBorder="1"/>
    <xf numFmtId="177" fontId="7" fillId="0" borderId="1" xfId="10" applyNumberFormat="1" applyBorder="1"/>
    <xf numFmtId="180" fontId="7" fillId="5" borderId="1" xfId="10" applyNumberFormat="1" applyFill="1" applyBorder="1" applyAlignment="1">
      <alignment horizontal="center"/>
    </xf>
    <xf numFmtId="177" fontId="7" fillId="5" borderId="1" xfId="10" applyNumberFormat="1" applyFill="1" applyBorder="1" applyAlignment="1">
      <alignment horizontal="center"/>
    </xf>
    <xf numFmtId="0" fontId="7" fillId="5" borderId="1" xfId="10" applyFill="1" applyBorder="1"/>
    <xf numFmtId="177" fontId="7" fillId="5" borderId="1" xfId="10" applyNumberFormat="1" applyFill="1" applyBorder="1"/>
    <xf numFmtId="169" fontId="5" fillId="5" borderId="1" xfId="10" applyNumberFormat="1" applyFont="1" applyFill="1" applyBorder="1" applyAlignment="1">
      <alignment horizontal="center"/>
    </xf>
    <xf numFmtId="0" fontId="5" fillId="0" borderId="1" xfId="10" applyFont="1" applyBorder="1" applyAlignment="1">
      <alignment horizontal="center" wrapText="1"/>
    </xf>
    <xf numFmtId="179" fontId="7" fillId="5" borderId="1" xfId="10" applyNumberFormat="1" applyFill="1" applyBorder="1" applyAlignment="1">
      <alignment horizontal="center"/>
    </xf>
    <xf numFmtId="172" fontId="7" fillId="5" borderId="1" xfId="10" applyNumberFormat="1" applyFill="1" applyBorder="1" applyAlignment="1">
      <alignment horizontal="center"/>
    </xf>
    <xf numFmtId="172" fontId="7" fillId="4" borderId="1" xfId="10" applyNumberFormat="1" applyFill="1" applyBorder="1" applyAlignment="1">
      <alignment horizontal="center"/>
    </xf>
    <xf numFmtId="0" fontId="1" fillId="0" borderId="1" xfId="10" applyFont="1" applyBorder="1" applyAlignment="1">
      <alignment horizontal="right"/>
    </xf>
    <xf numFmtId="0" fontId="7" fillId="3" borderId="1" xfId="10" applyFill="1" applyBorder="1" applyAlignment="1">
      <alignment horizontal="center"/>
    </xf>
    <xf numFmtId="172" fontId="7" fillId="3" borderId="1" xfId="10" applyNumberFormat="1" applyFill="1" applyBorder="1" applyAlignment="1">
      <alignment horizontal="center"/>
    </xf>
    <xf numFmtId="0" fontId="7" fillId="0" borderId="1" xfId="10" applyBorder="1" applyAlignment="1">
      <alignment horizontal="right"/>
    </xf>
    <xf numFmtId="0" fontId="7" fillId="3" borderId="1" xfId="10" applyFill="1" applyBorder="1"/>
    <xf numFmtId="169" fontId="5" fillId="0" borderId="1" xfId="10" applyNumberFormat="1" applyFont="1" applyFill="1" applyBorder="1" applyAlignment="1">
      <alignment horizontal="center"/>
    </xf>
    <xf numFmtId="179" fontId="7" fillId="0" borderId="1" xfId="10" applyNumberFormat="1" applyFill="1" applyBorder="1" applyAlignment="1">
      <alignment horizontal="center"/>
    </xf>
    <xf numFmtId="172" fontId="7" fillId="0" borderId="1" xfId="10" applyNumberFormat="1" applyFill="1" applyBorder="1" applyAlignment="1">
      <alignment horizontal="center"/>
    </xf>
    <xf numFmtId="1" fontId="7" fillId="0" borderId="1" xfId="10" applyNumberFormat="1" applyFill="1" applyBorder="1" applyAlignment="1">
      <alignment horizontal="right"/>
    </xf>
    <xf numFmtId="0" fontId="7" fillId="0" borderId="1" xfId="10" applyFill="1" applyBorder="1"/>
    <xf numFmtId="181" fontId="7" fillId="0" borderId="1" xfId="10" applyNumberFormat="1" applyBorder="1" applyAlignment="1">
      <alignment horizontal="center"/>
    </xf>
    <xf numFmtId="164" fontId="7" fillId="0" borderId="1" xfId="10" applyNumberFormat="1" applyBorder="1" applyAlignment="1">
      <alignment horizontal="center"/>
    </xf>
    <xf numFmtId="172" fontId="7" fillId="0" borderId="1" xfId="10" applyNumberFormat="1" applyBorder="1" applyAlignment="1">
      <alignment horizontal="center"/>
    </xf>
    <xf numFmtId="1" fontId="7" fillId="0" borderId="1" xfId="10" applyNumberFormat="1" applyBorder="1" applyAlignment="1">
      <alignment horizontal="right"/>
    </xf>
    <xf numFmtId="0" fontId="7" fillId="0" borderId="1" xfId="10" applyFont="1" applyFill="1" applyBorder="1" applyAlignment="1">
      <alignment horizontal="left"/>
    </xf>
    <xf numFmtId="0" fontId="7" fillId="0" borderId="1" xfId="10" applyFont="1" applyFill="1" applyBorder="1" applyAlignment="1">
      <alignment horizontal="center"/>
    </xf>
    <xf numFmtId="0" fontId="7" fillId="0" borderId="1" xfId="10" applyFont="1" applyFill="1" applyBorder="1"/>
    <xf numFmtId="172" fontId="7" fillId="0" borderId="1" xfId="10" applyNumberFormat="1" applyFill="1" applyBorder="1"/>
    <xf numFmtId="0" fontId="7" fillId="0" borderId="1" xfId="10" applyFill="1" applyBorder="1" applyAlignment="1">
      <alignment horizontal="right"/>
    </xf>
    <xf numFmtId="0" fontId="7" fillId="0" borderId="1" xfId="10" applyBorder="1" applyAlignment="1">
      <alignment horizontal="center"/>
    </xf>
    <xf numFmtId="172" fontId="7" fillId="0" borderId="1" xfId="10" applyNumberFormat="1" applyBorder="1"/>
    <xf numFmtId="0" fontId="5" fillId="6" borderId="0" xfId="10" applyFont="1" applyFill="1" applyAlignment="1">
      <alignment horizontal="right"/>
    </xf>
    <xf numFmtId="0" fontId="5" fillId="6" borderId="0" xfId="0" applyFont="1" applyFill="1" applyAlignment="1">
      <alignment horizontal="left"/>
    </xf>
    <xf numFmtId="0" fontId="7" fillId="6" borderId="0" xfId="10" applyFill="1" applyAlignment="1">
      <alignment horizontal="center"/>
    </xf>
    <xf numFmtId="0" fontId="7" fillId="6" borderId="0" xfId="10" applyFill="1"/>
    <xf numFmtId="0" fontId="7" fillId="6" borderId="0" xfId="10" applyFill="1" applyAlignment="1">
      <alignment horizontal="right"/>
    </xf>
    <xf numFmtId="172" fontId="7" fillId="6" borderId="0" xfId="10" applyNumberFormat="1" applyFill="1" applyAlignment="1">
      <alignment horizontal="center"/>
    </xf>
    <xf numFmtId="0" fontId="1" fillId="0" borderId="0" xfId="10" applyFont="1" applyFill="1"/>
    <xf numFmtId="0" fontId="7" fillId="0" borderId="0" xfId="10" applyFill="1" applyBorder="1"/>
    <xf numFmtId="0" fontId="7" fillId="0" borderId="0" xfId="10" applyFill="1" applyBorder="1" applyAlignment="1">
      <alignment horizontal="center"/>
    </xf>
    <xf numFmtId="172" fontId="7" fillId="0" borderId="0" xfId="10" applyNumberFormat="1" applyFill="1" applyBorder="1"/>
    <xf numFmtId="0" fontId="7" fillId="0" borderId="0" xfId="10" applyFill="1" applyBorder="1" applyAlignment="1">
      <alignment horizontal="right"/>
    </xf>
    <xf numFmtId="172" fontId="7" fillId="0" borderId="0" xfId="10" applyNumberFormat="1" applyFill="1" applyBorder="1" applyAlignment="1">
      <alignment horizontal="center"/>
    </xf>
    <xf numFmtId="0" fontId="6" fillId="0" borderId="0" xfId="10" applyFont="1" applyBorder="1" applyAlignment="1">
      <alignment horizontal="center" wrapText="1"/>
    </xf>
    <xf numFmtId="172" fontId="6" fillId="0" borderId="0" xfId="10" applyNumberFormat="1" applyFont="1" applyAlignment="1">
      <alignment horizontal="center" wrapText="1"/>
    </xf>
    <xf numFmtId="0" fontId="6" fillId="0" borderId="0" xfId="10" applyFont="1" applyAlignment="1">
      <alignment horizontal="center" wrapText="1"/>
    </xf>
    <xf numFmtId="183" fontId="1" fillId="3" borderId="1" xfId="10" applyNumberFormat="1" applyFont="1" applyFill="1" applyBorder="1"/>
    <xf numFmtId="173" fontId="7" fillId="0" borderId="1" xfId="10" applyNumberFormat="1" applyBorder="1" applyAlignment="1">
      <alignment horizontal="center"/>
    </xf>
    <xf numFmtId="173" fontId="7" fillId="0" borderId="0" xfId="10" applyNumberFormat="1" applyBorder="1" applyAlignment="1">
      <alignment horizontal="center"/>
    </xf>
    <xf numFmtId="11" fontId="7" fillId="3" borderId="1" xfId="10" applyNumberFormat="1" applyFill="1" applyBorder="1"/>
    <xf numFmtId="173" fontId="7" fillId="3" borderId="1" xfId="10" applyNumberFormat="1" applyFill="1" applyBorder="1" applyAlignment="1">
      <alignment horizontal="center"/>
    </xf>
    <xf numFmtId="172" fontId="7" fillId="3" borderId="1" xfId="10" applyNumberFormat="1" applyFill="1" applyBorder="1" applyAlignment="1">
      <alignment horizontal="left"/>
    </xf>
    <xf numFmtId="1" fontId="7" fillId="3" borderId="1" xfId="10" applyNumberFormat="1" applyFill="1" applyBorder="1" applyAlignment="1">
      <alignment horizontal="left"/>
    </xf>
    <xf numFmtId="181" fontId="7" fillId="5" borderId="1" xfId="10" applyNumberFormat="1" applyFill="1" applyBorder="1" applyAlignment="1">
      <alignment horizontal="center"/>
    </xf>
    <xf numFmtId="164" fontId="7" fillId="5" borderId="1" xfId="10" applyNumberFormat="1" applyFill="1" applyBorder="1" applyAlignment="1">
      <alignment horizontal="center"/>
    </xf>
    <xf numFmtId="165" fontId="7" fillId="0" borderId="1" xfId="10" applyNumberFormat="1" applyBorder="1"/>
    <xf numFmtId="0" fontId="5" fillId="0" borderId="2" xfId="10" applyFont="1" applyFill="1" applyBorder="1" applyAlignment="1">
      <alignment horizontal="center"/>
    </xf>
    <xf numFmtId="0" fontId="5" fillId="0" borderId="2" xfId="10" applyFont="1" applyBorder="1" applyAlignment="1">
      <alignment horizontal="center"/>
    </xf>
    <xf numFmtId="177" fontId="5" fillId="0" borderId="2" xfId="10" applyNumberFormat="1" applyFont="1" applyBorder="1" applyAlignment="1">
      <alignment horizontal="center" wrapText="1"/>
    </xf>
    <xf numFmtId="181" fontId="12" fillId="0" borderId="3" xfId="10" applyNumberFormat="1" applyFont="1" applyBorder="1" applyAlignment="1">
      <alignment horizontal="left"/>
    </xf>
    <xf numFmtId="0" fontId="7" fillId="0" borderId="4" xfId="10" applyBorder="1"/>
    <xf numFmtId="0" fontId="7" fillId="0" borderId="5" xfId="10" applyBorder="1"/>
    <xf numFmtId="14" fontId="10" fillId="0" borderId="0" xfId="10" applyNumberFormat="1" applyFont="1" applyAlignment="1">
      <alignment horizontal="center"/>
    </xf>
    <xf numFmtId="0" fontId="10" fillId="0" borderId="0" xfId="10" applyFont="1" applyAlignment="1">
      <alignment horizontal="center"/>
    </xf>
    <xf numFmtId="0" fontId="2" fillId="5" borderId="0" xfId="4" applyFill="1" applyAlignment="1">
      <alignment horizontal="center"/>
    </xf>
    <xf numFmtId="174" fontId="2" fillId="5" borderId="0" xfId="4" applyNumberFormat="1" applyFill="1" applyAlignment="1">
      <alignment horizontal="center"/>
    </xf>
    <xf numFmtId="175" fontId="2" fillId="5" borderId="0" xfId="4" applyNumberFormat="1" applyFill="1" applyAlignment="1">
      <alignment horizontal="center"/>
    </xf>
    <xf numFmtId="15" fontId="2" fillId="5" borderId="0" xfId="4" applyNumberFormat="1" applyFill="1"/>
    <xf numFmtId="171" fontId="2" fillId="5" borderId="0" xfId="4" applyNumberFormat="1" applyFill="1" applyAlignment="1">
      <alignment horizontal="center"/>
    </xf>
    <xf numFmtId="0" fontId="2" fillId="5" borderId="0" xfId="4" applyFill="1"/>
    <xf numFmtId="14" fontId="7" fillId="0" borderId="1" xfId="10" applyNumberFormat="1" applyBorder="1" applyAlignment="1">
      <alignment horizontal="center"/>
    </xf>
    <xf numFmtId="165" fontId="7" fillId="0" borderId="1" xfId="10" applyNumberFormat="1" applyBorder="1" applyAlignment="1">
      <alignment horizontal="center"/>
    </xf>
  </cellXfs>
  <cellStyles count="11">
    <cellStyle name="Normal" xfId="0" builtinId="0"/>
    <cellStyle name="Normal 2" xfId="10"/>
    <cellStyle name="Normal_JUL 2000/BAK/TB196" xfId="1"/>
    <cellStyle name="Normal_jun2000/emb/TB168" xfId="2"/>
    <cellStyle name="Normal_jun2000/emb/TB171" xfId="3"/>
    <cellStyle name="Normal_M-FAMILY_WORKBOOK" xfId="4"/>
    <cellStyle name="Normal_SHH DATA" xfId="5"/>
    <cellStyle name="Normal_SHH updates!! copy" xfId="6"/>
    <cellStyle name="Normal_SHHupdates-26Feb-2001" xfId="7"/>
    <cellStyle name="Normal_TB100224 WKBK" xfId="8"/>
    <cellStyle name="Normal_tb101037cal wkbk copy 1" xfId="9"/>
  </cellStyles>
  <dxfs count="0"/>
  <tableStyles count="0" defaultTableStyle="TableStyleMedium2" defaultPivotStyle="PivotStyleLight16"/>
  <colors>
    <mruColors>
      <color rgb="FFFF00FF"/>
      <color rgb="FFFF99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sharedStrings" Target="sharedStrings.xml"/><Relationship Id="rId5" Type="http://schemas.openxmlformats.org/officeDocument/2006/relationships/dialogsheet" Target="dialogsheets/sheet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ialog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/Relationships>
</file>

<file path=xl/dialogsheets/sheet1.xml><?xml version="1.0" encoding="utf-8"?>
<dialog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Views>
    <sheetView showRowColHeaders="0" showZeros="0" showOutlineSymbols="0" workbookViewId="0"/>
  </sheetViews>
  <sheetFormatPr defaultColWidth="1" defaultRowHeight="5.25" customHeight="1"/>
  <sheetProtection sheet="1"/>
  <pageMargins left="0.75" right="0.75" top="1" bottom="1" header="0.5" footer="0.5"/>
  <pageSetup orientation="portrait" r:id="rId1"/>
  <headerFooter alignWithMargins="0">
    <oddHeader>&amp;A</oddHeader>
    <oddFooter>Page &amp;P</oddFooter>
  </headerFooter>
  <legacyDrawing r:id="rId2"/>
</dialogsheet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langis/MTR/Rev%202.0%20(Precise%20Version)/Test%20Run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MTR\tenn\MTR\FINISHED\EXL%2099-00\MTR%20FIELD%20DATA%2099-00\99-00%20TEMPS\99t52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st 6"/>
      <sheetName val="Test 4b"/>
      <sheetName val="Test 5"/>
      <sheetName val="Initial run"/>
      <sheetName val="Test 1"/>
      <sheetName val="Test 2"/>
      <sheetName val="Test 3"/>
      <sheetName val="Test 4"/>
      <sheetName val="test 6 mtr data"/>
      <sheetName val="test 6 sbe56 data"/>
      <sheetName val="comparison"/>
    </sheetNames>
    <sheetDataSet>
      <sheetData sheetId="0">
        <row r="6">
          <cell r="N6">
            <v>1.126410824E-3</v>
          </cell>
        </row>
        <row r="7">
          <cell r="N7">
            <v>2.3455564629999999E-4</v>
          </cell>
        </row>
      </sheetData>
      <sheetData sheetId="1">
        <row r="2">
          <cell r="P2">
            <v>10000</v>
          </cell>
        </row>
      </sheetData>
      <sheetData sheetId="2">
        <row r="2">
          <cell r="Q2">
            <v>4.0960000000000001</v>
          </cell>
        </row>
      </sheetData>
      <sheetData sheetId="3">
        <row r="6">
          <cell r="N6">
            <v>1.1244515799999999E-3</v>
          </cell>
        </row>
      </sheetData>
      <sheetData sheetId="4"/>
      <sheetData sheetId="5"/>
      <sheetData sheetId="6"/>
      <sheetData sheetId="7"/>
      <sheetData sheetId="8">
        <row r="1">
          <cell r="A1">
            <v>-79</v>
          </cell>
        </row>
      </sheetData>
      <sheetData sheetId="9"/>
      <sheetData sheetId="1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mp. Calib. History (2)"/>
      <sheetName val="1220m-2000"/>
      <sheetName val="1350m-2001"/>
      <sheetName val="1420m-3288"/>
      <sheetName val="1490m-3290"/>
      <sheetName val="1530m-3298"/>
      <sheetName val="Sheet6"/>
      <sheetName val="Sheet7"/>
      <sheetName val="Sheet8"/>
      <sheetName val="Sheet9"/>
      <sheetName val="Sheet10"/>
      <sheetName val="SHH-Worksheet Template"/>
      <sheetName val="SelectCalBox"/>
    </sheetNames>
    <sheetDataSet>
      <sheetData sheetId="0">
        <row r="2">
          <cell r="A2">
            <v>2000</v>
          </cell>
          <cell r="B2">
            <v>1.8115672665747401E-2</v>
          </cell>
          <cell r="C2">
            <v>-4.8825952420941702E-3</v>
          </cell>
          <cell r="D2">
            <v>7.8656082490968999E-5</v>
          </cell>
          <cell r="E2">
            <v>36753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N491"/>
  <sheetViews>
    <sheetView workbookViewId="0">
      <selection activeCell="G12" sqref="G12:H18"/>
    </sheetView>
  </sheetViews>
  <sheetFormatPr defaultRowHeight="12.75"/>
  <cols>
    <col min="1" max="1" width="45.7109375" style="111" customWidth="1"/>
    <col min="2" max="2" width="11.42578125" style="112" customWidth="1"/>
    <col min="3" max="3" width="13.28515625" style="112" customWidth="1"/>
    <col min="4" max="4" width="10.7109375" style="112" customWidth="1"/>
    <col min="5" max="5" width="5.28515625" style="111" customWidth="1"/>
    <col min="6" max="6" width="11.42578125" style="111" customWidth="1"/>
    <col min="7" max="8" width="18.140625" style="111" bestFit="1" customWidth="1"/>
    <col min="9" max="9" width="10.7109375" style="111" customWidth="1"/>
    <col min="10" max="11" width="11.42578125" style="111" customWidth="1"/>
    <col min="12" max="12" width="10.5703125" style="111" customWidth="1"/>
    <col min="13" max="13" width="13.28515625" style="111" customWidth="1"/>
    <col min="14" max="14" width="11.42578125" style="111" customWidth="1"/>
    <col min="15" max="255" width="9.140625" style="111"/>
    <col min="256" max="256" width="45.7109375" style="111" customWidth="1"/>
    <col min="257" max="257" width="11.42578125" style="111" customWidth="1"/>
    <col min="258" max="258" width="13.28515625" style="111" customWidth="1"/>
    <col min="259" max="259" width="10.7109375" style="111" customWidth="1"/>
    <col min="260" max="260" width="5.28515625" style="111" customWidth="1"/>
    <col min="261" max="261" width="9.7109375" style="111" customWidth="1"/>
    <col min="262" max="262" width="11.28515625" style="111" customWidth="1"/>
    <col min="263" max="263" width="9.140625" style="111"/>
    <col min="264" max="264" width="5.140625" style="111" customWidth="1"/>
    <col min="265" max="265" width="11.140625" style="111" customWidth="1"/>
    <col min="266" max="267" width="9.140625" style="111"/>
    <col min="268" max="269" width="20.7109375" style="111" customWidth="1"/>
    <col min="270" max="511" width="9.140625" style="111"/>
    <col min="512" max="512" width="45.7109375" style="111" customWidth="1"/>
    <col min="513" max="513" width="11.42578125" style="111" customWidth="1"/>
    <col min="514" max="514" width="13.28515625" style="111" customWidth="1"/>
    <col min="515" max="515" width="10.7109375" style="111" customWidth="1"/>
    <col min="516" max="516" width="5.28515625" style="111" customWidth="1"/>
    <col min="517" max="517" width="9.7109375" style="111" customWidth="1"/>
    <col min="518" max="518" width="11.28515625" style="111" customWidth="1"/>
    <col min="519" max="519" width="9.140625" style="111"/>
    <col min="520" max="520" width="5.140625" style="111" customWidth="1"/>
    <col min="521" max="521" width="11.140625" style="111" customWidth="1"/>
    <col min="522" max="523" width="9.140625" style="111"/>
    <col min="524" max="525" width="20.7109375" style="111" customWidth="1"/>
    <col min="526" max="767" width="9.140625" style="111"/>
    <col min="768" max="768" width="45.7109375" style="111" customWidth="1"/>
    <col min="769" max="769" width="11.42578125" style="111" customWidth="1"/>
    <col min="770" max="770" width="13.28515625" style="111" customWidth="1"/>
    <col min="771" max="771" width="10.7109375" style="111" customWidth="1"/>
    <col min="772" max="772" width="5.28515625" style="111" customWidth="1"/>
    <col min="773" max="773" width="9.7109375" style="111" customWidth="1"/>
    <col min="774" max="774" width="11.28515625" style="111" customWidth="1"/>
    <col min="775" max="775" width="9.140625" style="111"/>
    <col min="776" max="776" width="5.140625" style="111" customWidth="1"/>
    <col min="777" max="777" width="11.140625" style="111" customWidth="1"/>
    <col min="778" max="779" width="9.140625" style="111"/>
    <col min="780" max="781" width="20.7109375" style="111" customWidth="1"/>
    <col min="782" max="1023" width="9.140625" style="111"/>
    <col min="1024" max="1024" width="45.7109375" style="111" customWidth="1"/>
    <col min="1025" max="1025" width="11.42578125" style="111" customWidth="1"/>
    <col min="1026" max="1026" width="13.28515625" style="111" customWidth="1"/>
    <col min="1027" max="1027" width="10.7109375" style="111" customWidth="1"/>
    <col min="1028" max="1028" width="5.28515625" style="111" customWidth="1"/>
    <col min="1029" max="1029" width="9.7109375" style="111" customWidth="1"/>
    <col min="1030" max="1030" width="11.28515625" style="111" customWidth="1"/>
    <col min="1031" max="1031" width="9.140625" style="111"/>
    <col min="1032" max="1032" width="5.140625" style="111" customWidth="1"/>
    <col min="1033" max="1033" width="11.140625" style="111" customWidth="1"/>
    <col min="1034" max="1035" width="9.140625" style="111"/>
    <col min="1036" max="1037" width="20.7109375" style="111" customWidth="1"/>
    <col min="1038" max="1279" width="9.140625" style="111"/>
    <col min="1280" max="1280" width="45.7109375" style="111" customWidth="1"/>
    <col min="1281" max="1281" width="11.42578125" style="111" customWidth="1"/>
    <col min="1282" max="1282" width="13.28515625" style="111" customWidth="1"/>
    <col min="1283" max="1283" width="10.7109375" style="111" customWidth="1"/>
    <col min="1284" max="1284" width="5.28515625" style="111" customWidth="1"/>
    <col min="1285" max="1285" width="9.7109375" style="111" customWidth="1"/>
    <col min="1286" max="1286" width="11.28515625" style="111" customWidth="1"/>
    <col min="1287" max="1287" width="9.140625" style="111"/>
    <col min="1288" max="1288" width="5.140625" style="111" customWidth="1"/>
    <col min="1289" max="1289" width="11.140625" style="111" customWidth="1"/>
    <col min="1290" max="1291" width="9.140625" style="111"/>
    <col min="1292" max="1293" width="20.7109375" style="111" customWidth="1"/>
    <col min="1294" max="1535" width="9.140625" style="111"/>
    <col min="1536" max="1536" width="45.7109375" style="111" customWidth="1"/>
    <col min="1537" max="1537" width="11.42578125" style="111" customWidth="1"/>
    <col min="1538" max="1538" width="13.28515625" style="111" customWidth="1"/>
    <col min="1539" max="1539" width="10.7109375" style="111" customWidth="1"/>
    <col min="1540" max="1540" width="5.28515625" style="111" customWidth="1"/>
    <col min="1541" max="1541" width="9.7109375" style="111" customWidth="1"/>
    <col min="1542" max="1542" width="11.28515625" style="111" customWidth="1"/>
    <col min="1543" max="1543" width="9.140625" style="111"/>
    <col min="1544" max="1544" width="5.140625" style="111" customWidth="1"/>
    <col min="1545" max="1545" width="11.140625" style="111" customWidth="1"/>
    <col min="1546" max="1547" width="9.140625" style="111"/>
    <col min="1548" max="1549" width="20.7109375" style="111" customWidth="1"/>
    <col min="1550" max="1791" width="9.140625" style="111"/>
    <col min="1792" max="1792" width="45.7109375" style="111" customWidth="1"/>
    <col min="1793" max="1793" width="11.42578125" style="111" customWidth="1"/>
    <col min="1794" max="1794" width="13.28515625" style="111" customWidth="1"/>
    <col min="1795" max="1795" width="10.7109375" style="111" customWidth="1"/>
    <col min="1796" max="1796" width="5.28515625" style="111" customWidth="1"/>
    <col min="1797" max="1797" width="9.7109375" style="111" customWidth="1"/>
    <col min="1798" max="1798" width="11.28515625" style="111" customWidth="1"/>
    <col min="1799" max="1799" width="9.140625" style="111"/>
    <col min="1800" max="1800" width="5.140625" style="111" customWidth="1"/>
    <col min="1801" max="1801" width="11.140625" style="111" customWidth="1"/>
    <col min="1802" max="1803" width="9.140625" style="111"/>
    <col min="1804" max="1805" width="20.7109375" style="111" customWidth="1"/>
    <col min="1806" max="2047" width="9.140625" style="111"/>
    <col min="2048" max="2048" width="45.7109375" style="111" customWidth="1"/>
    <col min="2049" max="2049" width="11.42578125" style="111" customWidth="1"/>
    <col min="2050" max="2050" width="13.28515625" style="111" customWidth="1"/>
    <col min="2051" max="2051" width="10.7109375" style="111" customWidth="1"/>
    <col min="2052" max="2052" width="5.28515625" style="111" customWidth="1"/>
    <col min="2053" max="2053" width="9.7109375" style="111" customWidth="1"/>
    <col min="2054" max="2054" width="11.28515625" style="111" customWidth="1"/>
    <col min="2055" max="2055" width="9.140625" style="111"/>
    <col min="2056" max="2056" width="5.140625" style="111" customWidth="1"/>
    <col min="2057" max="2057" width="11.140625" style="111" customWidth="1"/>
    <col min="2058" max="2059" width="9.140625" style="111"/>
    <col min="2060" max="2061" width="20.7109375" style="111" customWidth="1"/>
    <col min="2062" max="2303" width="9.140625" style="111"/>
    <col min="2304" max="2304" width="45.7109375" style="111" customWidth="1"/>
    <col min="2305" max="2305" width="11.42578125" style="111" customWidth="1"/>
    <col min="2306" max="2306" width="13.28515625" style="111" customWidth="1"/>
    <col min="2307" max="2307" width="10.7109375" style="111" customWidth="1"/>
    <col min="2308" max="2308" width="5.28515625" style="111" customWidth="1"/>
    <col min="2309" max="2309" width="9.7109375" style="111" customWidth="1"/>
    <col min="2310" max="2310" width="11.28515625" style="111" customWidth="1"/>
    <col min="2311" max="2311" width="9.140625" style="111"/>
    <col min="2312" max="2312" width="5.140625" style="111" customWidth="1"/>
    <col min="2313" max="2313" width="11.140625" style="111" customWidth="1"/>
    <col min="2314" max="2315" width="9.140625" style="111"/>
    <col min="2316" max="2317" width="20.7109375" style="111" customWidth="1"/>
    <col min="2318" max="2559" width="9.140625" style="111"/>
    <col min="2560" max="2560" width="45.7109375" style="111" customWidth="1"/>
    <col min="2561" max="2561" width="11.42578125" style="111" customWidth="1"/>
    <col min="2562" max="2562" width="13.28515625" style="111" customWidth="1"/>
    <col min="2563" max="2563" width="10.7109375" style="111" customWidth="1"/>
    <col min="2564" max="2564" width="5.28515625" style="111" customWidth="1"/>
    <col min="2565" max="2565" width="9.7109375" style="111" customWidth="1"/>
    <col min="2566" max="2566" width="11.28515625" style="111" customWidth="1"/>
    <col min="2567" max="2567" width="9.140625" style="111"/>
    <col min="2568" max="2568" width="5.140625" style="111" customWidth="1"/>
    <col min="2569" max="2569" width="11.140625" style="111" customWidth="1"/>
    <col min="2570" max="2571" width="9.140625" style="111"/>
    <col min="2572" max="2573" width="20.7109375" style="111" customWidth="1"/>
    <col min="2574" max="2815" width="9.140625" style="111"/>
    <col min="2816" max="2816" width="45.7109375" style="111" customWidth="1"/>
    <col min="2817" max="2817" width="11.42578125" style="111" customWidth="1"/>
    <col min="2818" max="2818" width="13.28515625" style="111" customWidth="1"/>
    <col min="2819" max="2819" width="10.7109375" style="111" customWidth="1"/>
    <col min="2820" max="2820" width="5.28515625" style="111" customWidth="1"/>
    <col min="2821" max="2821" width="9.7109375" style="111" customWidth="1"/>
    <col min="2822" max="2822" width="11.28515625" style="111" customWidth="1"/>
    <col min="2823" max="2823" width="9.140625" style="111"/>
    <col min="2824" max="2824" width="5.140625" style="111" customWidth="1"/>
    <col min="2825" max="2825" width="11.140625" style="111" customWidth="1"/>
    <col min="2826" max="2827" width="9.140625" style="111"/>
    <col min="2828" max="2829" width="20.7109375" style="111" customWidth="1"/>
    <col min="2830" max="3071" width="9.140625" style="111"/>
    <col min="3072" max="3072" width="45.7109375" style="111" customWidth="1"/>
    <col min="3073" max="3073" width="11.42578125" style="111" customWidth="1"/>
    <col min="3074" max="3074" width="13.28515625" style="111" customWidth="1"/>
    <col min="3075" max="3075" width="10.7109375" style="111" customWidth="1"/>
    <col min="3076" max="3076" width="5.28515625" style="111" customWidth="1"/>
    <col min="3077" max="3077" width="9.7109375" style="111" customWidth="1"/>
    <col min="3078" max="3078" width="11.28515625" style="111" customWidth="1"/>
    <col min="3079" max="3079" width="9.140625" style="111"/>
    <col min="3080" max="3080" width="5.140625" style="111" customWidth="1"/>
    <col min="3081" max="3081" width="11.140625" style="111" customWidth="1"/>
    <col min="3082" max="3083" width="9.140625" style="111"/>
    <col min="3084" max="3085" width="20.7109375" style="111" customWidth="1"/>
    <col min="3086" max="3327" width="9.140625" style="111"/>
    <col min="3328" max="3328" width="45.7109375" style="111" customWidth="1"/>
    <col min="3329" max="3329" width="11.42578125" style="111" customWidth="1"/>
    <col min="3330" max="3330" width="13.28515625" style="111" customWidth="1"/>
    <col min="3331" max="3331" width="10.7109375" style="111" customWidth="1"/>
    <col min="3332" max="3332" width="5.28515625" style="111" customWidth="1"/>
    <col min="3333" max="3333" width="9.7109375" style="111" customWidth="1"/>
    <col min="3334" max="3334" width="11.28515625" style="111" customWidth="1"/>
    <col min="3335" max="3335" width="9.140625" style="111"/>
    <col min="3336" max="3336" width="5.140625" style="111" customWidth="1"/>
    <col min="3337" max="3337" width="11.140625" style="111" customWidth="1"/>
    <col min="3338" max="3339" width="9.140625" style="111"/>
    <col min="3340" max="3341" width="20.7109375" style="111" customWidth="1"/>
    <col min="3342" max="3583" width="9.140625" style="111"/>
    <col min="3584" max="3584" width="45.7109375" style="111" customWidth="1"/>
    <col min="3585" max="3585" width="11.42578125" style="111" customWidth="1"/>
    <col min="3586" max="3586" width="13.28515625" style="111" customWidth="1"/>
    <col min="3587" max="3587" width="10.7109375" style="111" customWidth="1"/>
    <col min="3588" max="3588" width="5.28515625" style="111" customWidth="1"/>
    <col min="3589" max="3589" width="9.7109375" style="111" customWidth="1"/>
    <col min="3590" max="3590" width="11.28515625" style="111" customWidth="1"/>
    <col min="3591" max="3591" width="9.140625" style="111"/>
    <col min="3592" max="3592" width="5.140625" style="111" customWidth="1"/>
    <col min="3593" max="3593" width="11.140625" style="111" customWidth="1"/>
    <col min="3594" max="3595" width="9.140625" style="111"/>
    <col min="3596" max="3597" width="20.7109375" style="111" customWidth="1"/>
    <col min="3598" max="3839" width="9.140625" style="111"/>
    <col min="3840" max="3840" width="45.7109375" style="111" customWidth="1"/>
    <col min="3841" max="3841" width="11.42578125" style="111" customWidth="1"/>
    <col min="3842" max="3842" width="13.28515625" style="111" customWidth="1"/>
    <col min="3843" max="3843" width="10.7109375" style="111" customWidth="1"/>
    <col min="3844" max="3844" width="5.28515625" style="111" customWidth="1"/>
    <col min="3845" max="3845" width="9.7109375" style="111" customWidth="1"/>
    <col min="3846" max="3846" width="11.28515625" style="111" customWidth="1"/>
    <col min="3847" max="3847" width="9.140625" style="111"/>
    <col min="3848" max="3848" width="5.140625" style="111" customWidth="1"/>
    <col min="3849" max="3849" width="11.140625" style="111" customWidth="1"/>
    <col min="3850" max="3851" width="9.140625" style="111"/>
    <col min="3852" max="3853" width="20.7109375" style="111" customWidth="1"/>
    <col min="3854" max="4095" width="9.140625" style="111"/>
    <col min="4096" max="4096" width="45.7109375" style="111" customWidth="1"/>
    <col min="4097" max="4097" width="11.42578125" style="111" customWidth="1"/>
    <col min="4098" max="4098" width="13.28515625" style="111" customWidth="1"/>
    <col min="4099" max="4099" width="10.7109375" style="111" customWidth="1"/>
    <col min="4100" max="4100" width="5.28515625" style="111" customWidth="1"/>
    <col min="4101" max="4101" width="9.7109375" style="111" customWidth="1"/>
    <col min="4102" max="4102" width="11.28515625" style="111" customWidth="1"/>
    <col min="4103" max="4103" width="9.140625" style="111"/>
    <col min="4104" max="4104" width="5.140625" style="111" customWidth="1"/>
    <col min="4105" max="4105" width="11.140625" style="111" customWidth="1"/>
    <col min="4106" max="4107" width="9.140625" style="111"/>
    <col min="4108" max="4109" width="20.7109375" style="111" customWidth="1"/>
    <col min="4110" max="4351" width="9.140625" style="111"/>
    <col min="4352" max="4352" width="45.7109375" style="111" customWidth="1"/>
    <col min="4353" max="4353" width="11.42578125" style="111" customWidth="1"/>
    <col min="4354" max="4354" width="13.28515625" style="111" customWidth="1"/>
    <col min="4355" max="4355" width="10.7109375" style="111" customWidth="1"/>
    <col min="4356" max="4356" width="5.28515625" style="111" customWidth="1"/>
    <col min="4357" max="4357" width="9.7109375" style="111" customWidth="1"/>
    <col min="4358" max="4358" width="11.28515625" style="111" customWidth="1"/>
    <col min="4359" max="4359" width="9.140625" style="111"/>
    <col min="4360" max="4360" width="5.140625" style="111" customWidth="1"/>
    <col min="4361" max="4361" width="11.140625" style="111" customWidth="1"/>
    <col min="4362" max="4363" width="9.140625" style="111"/>
    <col min="4364" max="4365" width="20.7109375" style="111" customWidth="1"/>
    <col min="4366" max="4607" width="9.140625" style="111"/>
    <col min="4608" max="4608" width="45.7109375" style="111" customWidth="1"/>
    <col min="4609" max="4609" width="11.42578125" style="111" customWidth="1"/>
    <col min="4610" max="4610" width="13.28515625" style="111" customWidth="1"/>
    <col min="4611" max="4611" width="10.7109375" style="111" customWidth="1"/>
    <col min="4612" max="4612" width="5.28515625" style="111" customWidth="1"/>
    <col min="4613" max="4613" width="9.7109375" style="111" customWidth="1"/>
    <col min="4614" max="4614" width="11.28515625" style="111" customWidth="1"/>
    <col min="4615" max="4615" width="9.140625" style="111"/>
    <col min="4616" max="4616" width="5.140625" style="111" customWidth="1"/>
    <col min="4617" max="4617" width="11.140625" style="111" customWidth="1"/>
    <col min="4618" max="4619" width="9.140625" style="111"/>
    <col min="4620" max="4621" width="20.7109375" style="111" customWidth="1"/>
    <col min="4622" max="4863" width="9.140625" style="111"/>
    <col min="4864" max="4864" width="45.7109375" style="111" customWidth="1"/>
    <col min="4865" max="4865" width="11.42578125" style="111" customWidth="1"/>
    <col min="4866" max="4866" width="13.28515625" style="111" customWidth="1"/>
    <col min="4867" max="4867" width="10.7109375" style="111" customWidth="1"/>
    <col min="4868" max="4868" width="5.28515625" style="111" customWidth="1"/>
    <col min="4869" max="4869" width="9.7109375" style="111" customWidth="1"/>
    <col min="4870" max="4870" width="11.28515625" style="111" customWidth="1"/>
    <col min="4871" max="4871" width="9.140625" style="111"/>
    <col min="4872" max="4872" width="5.140625" style="111" customWidth="1"/>
    <col min="4873" max="4873" width="11.140625" style="111" customWidth="1"/>
    <col min="4874" max="4875" width="9.140625" style="111"/>
    <col min="4876" max="4877" width="20.7109375" style="111" customWidth="1"/>
    <col min="4878" max="5119" width="9.140625" style="111"/>
    <col min="5120" max="5120" width="45.7109375" style="111" customWidth="1"/>
    <col min="5121" max="5121" width="11.42578125" style="111" customWidth="1"/>
    <col min="5122" max="5122" width="13.28515625" style="111" customWidth="1"/>
    <col min="5123" max="5123" width="10.7109375" style="111" customWidth="1"/>
    <col min="5124" max="5124" width="5.28515625" style="111" customWidth="1"/>
    <col min="5125" max="5125" width="9.7109375" style="111" customWidth="1"/>
    <col min="5126" max="5126" width="11.28515625" style="111" customWidth="1"/>
    <col min="5127" max="5127" width="9.140625" style="111"/>
    <col min="5128" max="5128" width="5.140625" style="111" customWidth="1"/>
    <col min="5129" max="5129" width="11.140625" style="111" customWidth="1"/>
    <col min="5130" max="5131" width="9.140625" style="111"/>
    <col min="5132" max="5133" width="20.7109375" style="111" customWidth="1"/>
    <col min="5134" max="5375" width="9.140625" style="111"/>
    <col min="5376" max="5376" width="45.7109375" style="111" customWidth="1"/>
    <col min="5377" max="5377" width="11.42578125" style="111" customWidth="1"/>
    <col min="5378" max="5378" width="13.28515625" style="111" customWidth="1"/>
    <col min="5379" max="5379" width="10.7109375" style="111" customWidth="1"/>
    <col min="5380" max="5380" width="5.28515625" style="111" customWidth="1"/>
    <col min="5381" max="5381" width="9.7109375" style="111" customWidth="1"/>
    <col min="5382" max="5382" width="11.28515625" style="111" customWidth="1"/>
    <col min="5383" max="5383" width="9.140625" style="111"/>
    <col min="5384" max="5384" width="5.140625" style="111" customWidth="1"/>
    <col min="5385" max="5385" width="11.140625" style="111" customWidth="1"/>
    <col min="5386" max="5387" width="9.140625" style="111"/>
    <col min="5388" max="5389" width="20.7109375" style="111" customWidth="1"/>
    <col min="5390" max="5631" width="9.140625" style="111"/>
    <col min="5632" max="5632" width="45.7109375" style="111" customWidth="1"/>
    <col min="5633" max="5633" width="11.42578125" style="111" customWidth="1"/>
    <col min="5634" max="5634" width="13.28515625" style="111" customWidth="1"/>
    <col min="5635" max="5635" width="10.7109375" style="111" customWidth="1"/>
    <col min="5636" max="5636" width="5.28515625" style="111" customWidth="1"/>
    <col min="5637" max="5637" width="9.7109375" style="111" customWidth="1"/>
    <col min="5638" max="5638" width="11.28515625" style="111" customWidth="1"/>
    <col min="5639" max="5639" width="9.140625" style="111"/>
    <col min="5640" max="5640" width="5.140625" style="111" customWidth="1"/>
    <col min="5641" max="5641" width="11.140625" style="111" customWidth="1"/>
    <col min="5642" max="5643" width="9.140625" style="111"/>
    <col min="5644" max="5645" width="20.7109375" style="111" customWidth="1"/>
    <col min="5646" max="5887" width="9.140625" style="111"/>
    <col min="5888" max="5888" width="45.7109375" style="111" customWidth="1"/>
    <col min="5889" max="5889" width="11.42578125" style="111" customWidth="1"/>
    <col min="5890" max="5890" width="13.28515625" style="111" customWidth="1"/>
    <col min="5891" max="5891" width="10.7109375" style="111" customWidth="1"/>
    <col min="5892" max="5892" width="5.28515625" style="111" customWidth="1"/>
    <col min="5893" max="5893" width="9.7109375" style="111" customWidth="1"/>
    <col min="5894" max="5894" width="11.28515625" style="111" customWidth="1"/>
    <col min="5895" max="5895" width="9.140625" style="111"/>
    <col min="5896" max="5896" width="5.140625" style="111" customWidth="1"/>
    <col min="5897" max="5897" width="11.140625" style="111" customWidth="1"/>
    <col min="5898" max="5899" width="9.140625" style="111"/>
    <col min="5900" max="5901" width="20.7109375" style="111" customWidth="1"/>
    <col min="5902" max="6143" width="9.140625" style="111"/>
    <col min="6144" max="6144" width="45.7109375" style="111" customWidth="1"/>
    <col min="6145" max="6145" width="11.42578125" style="111" customWidth="1"/>
    <col min="6146" max="6146" width="13.28515625" style="111" customWidth="1"/>
    <col min="6147" max="6147" width="10.7109375" style="111" customWidth="1"/>
    <col min="6148" max="6148" width="5.28515625" style="111" customWidth="1"/>
    <col min="6149" max="6149" width="9.7109375" style="111" customWidth="1"/>
    <col min="6150" max="6150" width="11.28515625" style="111" customWidth="1"/>
    <col min="6151" max="6151" width="9.140625" style="111"/>
    <col min="6152" max="6152" width="5.140625" style="111" customWidth="1"/>
    <col min="6153" max="6153" width="11.140625" style="111" customWidth="1"/>
    <col min="6154" max="6155" width="9.140625" style="111"/>
    <col min="6156" max="6157" width="20.7109375" style="111" customWidth="1"/>
    <col min="6158" max="6399" width="9.140625" style="111"/>
    <col min="6400" max="6400" width="45.7109375" style="111" customWidth="1"/>
    <col min="6401" max="6401" width="11.42578125" style="111" customWidth="1"/>
    <col min="6402" max="6402" width="13.28515625" style="111" customWidth="1"/>
    <col min="6403" max="6403" width="10.7109375" style="111" customWidth="1"/>
    <col min="6404" max="6404" width="5.28515625" style="111" customWidth="1"/>
    <col min="6405" max="6405" width="9.7109375" style="111" customWidth="1"/>
    <col min="6406" max="6406" width="11.28515625" style="111" customWidth="1"/>
    <col min="6407" max="6407" width="9.140625" style="111"/>
    <col min="6408" max="6408" width="5.140625" style="111" customWidth="1"/>
    <col min="6409" max="6409" width="11.140625" style="111" customWidth="1"/>
    <col min="6410" max="6411" width="9.140625" style="111"/>
    <col min="6412" max="6413" width="20.7109375" style="111" customWidth="1"/>
    <col min="6414" max="6655" width="9.140625" style="111"/>
    <col min="6656" max="6656" width="45.7109375" style="111" customWidth="1"/>
    <col min="6657" max="6657" width="11.42578125" style="111" customWidth="1"/>
    <col min="6658" max="6658" width="13.28515625" style="111" customWidth="1"/>
    <col min="6659" max="6659" width="10.7109375" style="111" customWidth="1"/>
    <col min="6660" max="6660" width="5.28515625" style="111" customWidth="1"/>
    <col min="6661" max="6661" width="9.7109375" style="111" customWidth="1"/>
    <col min="6662" max="6662" width="11.28515625" style="111" customWidth="1"/>
    <col min="6663" max="6663" width="9.140625" style="111"/>
    <col min="6664" max="6664" width="5.140625" style="111" customWidth="1"/>
    <col min="6665" max="6665" width="11.140625" style="111" customWidth="1"/>
    <col min="6666" max="6667" width="9.140625" style="111"/>
    <col min="6668" max="6669" width="20.7109375" style="111" customWidth="1"/>
    <col min="6670" max="6911" width="9.140625" style="111"/>
    <col min="6912" max="6912" width="45.7109375" style="111" customWidth="1"/>
    <col min="6913" max="6913" width="11.42578125" style="111" customWidth="1"/>
    <col min="6914" max="6914" width="13.28515625" style="111" customWidth="1"/>
    <col min="6915" max="6915" width="10.7109375" style="111" customWidth="1"/>
    <col min="6916" max="6916" width="5.28515625" style="111" customWidth="1"/>
    <col min="6917" max="6917" width="9.7109375" style="111" customWidth="1"/>
    <col min="6918" max="6918" width="11.28515625" style="111" customWidth="1"/>
    <col min="6919" max="6919" width="9.140625" style="111"/>
    <col min="6920" max="6920" width="5.140625" style="111" customWidth="1"/>
    <col min="6921" max="6921" width="11.140625" style="111" customWidth="1"/>
    <col min="6922" max="6923" width="9.140625" style="111"/>
    <col min="6924" max="6925" width="20.7109375" style="111" customWidth="1"/>
    <col min="6926" max="7167" width="9.140625" style="111"/>
    <col min="7168" max="7168" width="45.7109375" style="111" customWidth="1"/>
    <col min="7169" max="7169" width="11.42578125" style="111" customWidth="1"/>
    <col min="7170" max="7170" width="13.28515625" style="111" customWidth="1"/>
    <col min="7171" max="7171" width="10.7109375" style="111" customWidth="1"/>
    <col min="7172" max="7172" width="5.28515625" style="111" customWidth="1"/>
    <col min="7173" max="7173" width="9.7109375" style="111" customWidth="1"/>
    <col min="7174" max="7174" width="11.28515625" style="111" customWidth="1"/>
    <col min="7175" max="7175" width="9.140625" style="111"/>
    <col min="7176" max="7176" width="5.140625" style="111" customWidth="1"/>
    <col min="7177" max="7177" width="11.140625" style="111" customWidth="1"/>
    <col min="7178" max="7179" width="9.140625" style="111"/>
    <col min="7180" max="7181" width="20.7109375" style="111" customWidth="1"/>
    <col min="7182" max="7423" width="9.140625" style="111"/>
    <col min="7424" max="7424" width="45.7109375" style="111" customWidth="1"/>
    <col min="7425" max="7425" width="11.42578125" style="111" customWidth="1"/>
    <col min="7426" max="7426" width="13.28515625" style="111" customWidth="1"/>
    <col min="7427" max="7427" width="10.7109375" style="111" customWidth="1"/>
    <col min="7428" max="7428" width="5.28515625" style="111" customWidth="1"/>
    <col min="7429" max="7429" width="9.7109375" style="111" customWidth="1"/>
    <col min="7430" max="7430" width="11.28515625" style="111" customWidth="1"/>
    <col min="7431" max="7431" width="9.140625" style="111"/>
    <col min="7432" max="7432" width="5.140625" style="111" customWidth="1"/>
    <col min="7433" max="7433" width="11.140625" style="111" customWidth="1"/>
    <col min="7434" max="7435" width="9.140625" style="111"/>
    <col min="7436" max="7437" width="20.7109375" style="111" customWidth="1"/>
    <col min="7438" max="7679" width="9.140625" style="111"/>
    <col min="7680" max="7680" width="45.7109375" style="111" customWidth="1"/>
    <col min="7681" max="7681" width="11.42578125" style="111" customWidth="1"/>
    <col min="7682" max="7682" width="13.28515625" style="111" customWidth="1"/>
    <col min="7683" max="7683" width="10.7109375" style="111" customWidth="1"/>
    <col min="7684" max="7684" width="5.28515625" style="111" customWidth="1"/>
    <col min="7685" max="7685" width="9.7109375" style="111" customWidth="1"/>
    <col min="7686" max="7686" width="11.28515625" style="111" customWidth="1"/>
    <col min="7687" max="7687" width="9.140625" style="111"/>
    <col min="7688" max="7688" width="5.140625" style="111" customWidth="1"/>
    <col min="7689" max="7689" width="11.140625" style="111" customWidth="1"/>
    <col min="7690" max="7691" width="9.140625" style="111"/>
    <col min="7692" max="7693" width="20.7109375" style="111" customWidth="1"/>
    <col min="7694" max="7935" width="9.140625" style="111"/>
    <col min="7936" max="7936" width="45.7109375" style="111" customWidth="1"/>
    <col min="7937" max="7937" width="11.42578125" style="111" customWidth="1"/>
    <col min="7938" max="7938" width="13.28515625" style="111" customWidth="1"/>
    <col min="7939" max="7939" width="10.7109375" style="111" customWidth="1"/>
    <col min="7940" max="7940" width="5.28515625" style="111" customWidth="1"/>
    <col min="7941" max="7941" width="9.7109375" style="111" customWidth="1"/>
    <col min="7942" max="7942" width="11.28515625" style="111" customWidth="1"/>
    <col min="7943" max="7943" width="9.140625" style="111"/>
    <col min="7944" max="7944" width="5.140625" style="111" customWidth="1"/>
    <col min="7945" max="7945" width="11.140625" style="111" customWidth="1"/>
    <col min="7946" max="7947" width="9.140625" style="111"/>
    <col min="7948" max="7949" width="20.7109375" style="111" customWidth="1"/>
    <col min="7950" max="8191" width="9.140625" style="111"/>
    <col min="8192" max="8192" width="45.7109375" style="111" customWidth="1"/>
    <col min="8193" max="8193" width="11.42578125" style="111" customWidth="1"/>
    <col min="8194" max="8194" width="13.28515625" style="111" customWidth="1"/>
    <col min="8195" max="8195" width="10.7109375" style="111" customWidth="1"/>
    <col min="8196" max="8196" width="5.28515625" style="111" customWidth="1"/>
    <col min="8197" max="8197" width="9.7109375" style="111" customWidth="1"/>
    <col min="8198" max="8198" width="11.28515625" style="111" customWidth="1"/>
    <col min="8199" max="8199" width="9.140625" style="111"/>
    <col min="8200" max="8200" width="5.140625" style="111" customWidth="1"/>
    <col min="8201" max="8201" width="11.140625" style="111" customWidth="1"/>
    <col min="8202" max="8203" width="9.140625" style="111"/>
    <col min="8204" max="8205" width="20.7109375" style="111" customWidth="1"/>
    <col min="8206" max="8447" width="9.140625" style="111"/>
    <col min="8448" max="8448" width="45.7109375" style="111" customWidth="1"/>
    <col min="8449" max="8449" width="11.42578125" style="111" customWidth="1"/>
    <col min="8450" max="8450" width="13.28515625" style="111" customWidth="1"/>
    <col min="8451" max="8451" width="10.7109375" style="111" customWidth="1"/>
    <col min="8452" max="8452" width="5.28515625" style="111" customWidth="1"/>
    <col min="8453" max="8453" width="9.7109375" style="111" customWidth="1"/>
    <col min="8454" max="8454" width="11.28515625" style="111" customWidth="1"/>
    <col min="8455" max="8455" width="9.140625" style="111"/>
    <col min="8456" max="8456" width="5.140625" style="111" customWidth="1"/>
    <col min="8457" max="8457" width="11.140625" style="111" customWidth="1"/>
    <col min="8458" max="8459" width="9.140625" style="111"/>
    <col min="8460" max="8461" width="20.7109375" style="111" customWidth="1"/>
    <col min="8462" max="8703" width="9.140625" style="111"/>
    <col min="8704" max="8704" width="45.7109375" style="111" customWidth="1"/>
    <col min="8705" max="8705" width="11.42578125" style="111" customWidth="1"/>
    <col min="8706" max="8706" width="13.28515625" style="111" customWidth="1"/>
    <col min="8707" max="8707" width="10.7109375" style="111" customWidth="1"/>
    <col min="8708" max="8708" width="5.28515625" style="111" customWidth="1"/>
    <col min="8709" max="8709" width="9.7109375" style="111" customWidth="1"/>
    <col min="8710" max="8710" width="11.28515625" style="111" customWidth="1"/>
    <col min="8711" max="8711" width="9.140625" style="111"/>
    <col min="8712" max="8712" width="5.140625" style="111" customWidth="1"/>
    <col min="8713" max="8713" width="11.140625" style="111" customWidth="1"/>
    <col min="8714" max="8715" width="9.140625" style="111"/>
    <col min="8716" max="8717" width="20.7109375" style="111" customWidth="1"/>
    <col min="8718" max="8959" width="9.140625" style="111"/>
    <col min="8960" max="8960" width="45.7109375" style="111" customWidth="1"/>
    <col min="8961" max="8961" width="11.42578125" style="111" customWidth="1"/>
    <col min="8962" max="8962" width="13.28515625" style="111" customWidth="1"/>
    <col min="8963" max="8963" width="10.7109375" style="111" customWidth="1"/>
    <col min="8964" max="8964" width="5.28515625" style="111" customWidth="1"/>
    <col min="8965" max="8965" width="9.7109375" style="111" customWidth="1"/>
    <col min="8966" max="8966" width="11.28515625" style="111" customWidth="1"/>
    <col min="8967" max="8967" width="9.140625" style="111"/>
    <col min="8968" max="8968" width="5.140625" style="111" customWidth="1"/>
    <col min="8969" max="8969" width="11.140625" style="111" customWidth="1"/>
    <col min="8970" max="8971" width="9.140625" style="111"/>
    <col min="8972" max="8973" width="20.7109375" style="111" customWidth="1"/>
    <col min="8974" max="9215" width="9.140625" style="111"/>
    <col min="9216" max="9216" width="45.7109375" style="111" customWidth="1"/>
    <col min="9217" max="9217" width="11.42578125" style="111" customWidth="1"/>
    <col min="9218" max="9218" width="13.28515625" style="111" customWidth="1"/>
    <col min="9219" max="9219" width="10.7109375" style="111" customWidth="1"/>
    <col min="9220" max="9220" width="5.28515625" style="111" customWidth="1"/>
    <col min="9221" max="9221" width="9.7109375" style="111" customWidth="1"/>
    <col min="9222" max="9222" width="11.28515625" style="111" customWidth="1"/>
    <col min="9223" max="9223" width="9.140625" style="111"/>
    <col min="9224" max="9224" width="5.140625" style="111" customWidth="1"/>
    <col min="9225" max="9225" width="11.140625" style="111" customWidth="1"/>
    <col min="9226" max="9227" width="9.140625" style="111"/>
    <col min="9228" max="9229" width="20.7109375" style="111" customWidth="1"/>
    <col min="9230" max="9471" width="9.140625" style="111"/>
    <col min="9472" max="9472" width="45.7109375" style="111" customWidth="1"/>
    <col min="9473" max="9473" width="11.42578125" style="111" customWidth="1"/>
    <col min="9474" max="9474" width="13.28515625" style="111" customWidth="1"/>
    <col min="9475" max="9475" width="10.7109375" style="111" customWidth="1"/>
    <col min="9476" max="9476" width="5.28515625" style="111" customWidth="1"/>
    <col min="9477" max="9477" width="9.7109375" style="111" customWidth="1"/>
    <col min="9478" max="9478" width="11.28515625" style="111" customWidth="1"/>
    <col min="9479" max="9479" width="9.140625" style="111"/>
    <col min="9480" max="9480" width="5.140625" style="111" customWidth="1"/>
    <col min="9481" max="9481" width="11.140625" style="111" customWidth="1"/>
    <col min="9482" max="9483" width="9.140625" style="111"/>
    <col min="9484" max="9485" width="20.7109375" style="111" customWidth="1"/>
    <col min="9486" max="9727" width="9.140625" style="111"/>
    <col min="9728" max="9728" width="45.7109375" style="111" customWidth="1"/>
    <col min="9729" max="9729" width="11.42578125" style="111" customWidth="1"/>
    <col min="9730" max="9730" width="13.28515625" style="111" customWidth="1"/>
    <col min="9731" max="9731" width="10.7109375" style="111" customWidth="1"/>
    <col min="9732" max="9732" width="5.28515625" style="111" customWidth="1"/>
    <col min="9733" max="9733" width="9.7109375" style="111" customWidth="1"/>
    <col min="9734" max="9734" width="11.28515625" style="111" customWidth="1"/>
    <col min="9735" max="9735" width="9.140625" style="111"/>
    <col min="9736" max="9736" width="5.140625" style="111" customWidth="1"/>
    <col min="9737" max="9737" width="11.140625" style="111" customWidth="1"/>
    <col min="9738" max="9739" width="9.140625" style="111"/>
    <col min="9740" max="9741" width="20.7109375" style="111" customWidth="1"/>
    <col min="9742" max="9983" width="9.140625" style="111"/>
    <col min="9984" max="9984" width="45.7109375" style="111" customWidth="1"/>
    <col min="9985" max="9985" width="11.42578125" style="111" customWidth="1"/>
    <col min="9986" max="9986" width="13.28515625" style="111" customWidth="1"/>
    <col min="9987" max="9987" width="10.7109375" style="111" customWidth="1"/>
    <col min="9988" max="9988" width="5.28515625" style="111" customWidth="1"/>
    <col min="9989" max="9989" width="9.7109375" style="111" customWidth="1"/>
    <col min="9990" max="9990" width="11.28515625" style="111" customWidth="1"/>
    <col min="9991" max="9991" width="9.140625" style="111"/>
    <col min="9992" max="9992" width="5.140625" style="111" customWidth="1"/>
    <col min="9993" max="9993" width="11.140625" style="111" customWidth="1"/>
    <col min="9994" max="9995" width="9.140625" style="111"/>
    <col min="9996" max="9997" width="20.7109375" style="111" customWidth="1"/>
    <col min="9998" max="10239" width="9.140625" style="111"/>
    <col min="10240" max="10240" width="45.7109375" style="111" customWidth="1"/>
    <col min="10241" max="10241" width="11.42578125" style="111" customWidth="1"/>
    <col min="10242" max="10242" width="13.28515625" style="111" customWidth="1"/>
    <col min="10243" max="10243" width="10.7109375" style="111" customWidth="1"/>
    <col min="10244" max="10244" width="5.28515625" style="111" customWidth="1"/>
    <col min="10245" max="10245" width="9.7109375" style="111" customWidth="1"/>
    <col min="10246" max="10246" width="11.28515625" style="111" customWidth="1"/>
    <col min="10247" max="10247" width="9.140625" style="111"/>
    <col min="10248" max="10248" width="5.140625" style="111" customWidth="1"/>
    <col min="10249" max="10249" width="11.140625" style="111" customWidth="1"/>
    <col min="10250" max="10251" width="9.140625" style="111"/>
    <col min="10252" max="10253" width="20.7109375" style="111" customWidth="1"/>
    <col min="10254" max="10495" width="9.140625" style="111"/>
    <col min="10496" max="10496" width="45.7109375" style="111" customWidth="1"/>
    <col min="10497" max="10497" width="11.42578125" style="111" customWidth="1"/>
    <col min="10498" max="10498" width="13.28515625" style="111" customWidth="1"/>
    <col min="10499" max="10499" width="10.7109375" style="111" customWidth="1"/>
    <col min="10500" max="10500" width="5.28515625" style="111" customWidth="1"/>
    <col min="10501" max="10501" width="9.7109375" style="111" customWidth="1"/>
    <col min="10502" max="10502" width="11.28515625" style="111" customWidth="1"/>
    <col min="10503" max="10503" width="9.140625" style="111"/>
    <col min="10504" max="10504" width="5.140625" style="111" customWidth="1"/>
    <col min="10505" max="10505" width="11.140625" style="111" customWidth="1"/>
    <col min="10506" max="10507" width="9.140625" style="111"/>
    <col min="10508" max="10509" width="20.7109375" style="111" customWidth="1"/>
    <col min="10510" max="10751" width="9.140625" style="111"/>
    <col min="10752" max="10752" width="45.7109375" style="111" customWidth="1"/>
    <col min="10753" max="10753" width="11.42578125" style="111" customWidth="1"/>
    <col min="10754" max="10754" width="13.28515625" style="111" customWidth="1"/>
    <col min="10755" max="10755" width="10.7109375" style="111" customWidth="1"/>
    <col min="10756" max="10756" width="5.28515625" style="111" customWidth="1"/>
    <col min="10757" max="10757" width="9.7109375" style="111" customWidth="1"/>
    <col min="10758" max="10758" width="11.28515625" style="111" customWidth="1"/>
    <col min="10759" max="10759" width="9.140625" style="111"/>
    <col min="10760" max="10760" width="5.140625" style="111" customWidth="1"/>
    <col min="10761" max="10761" width="11.140625" style="111" customWidth="1"/>
    <col min="10762" max="10763" width="9.140625" style="111"/>
    <col min="10764" max="10765" width="20.7109375" style="111" customWidth="1"/>
    <col min="10766" max="11007" width="9.140625" style="111"/>
    <col min="11008" max="11008" width="45.7109375" style="111" customWidth="1"/>
    <col min="11009" max="11009" width="11.42578125" style="111" customWidth="1"/>
    <col min="11010" max="11010" width="13.28515625" style="111" customWidth="1"/>
    <col min="11011" max="11011" width="10.7109375" style="111" customWidth="1"/>
    <col min="11012" max="11012" width="5.28515625" style="111" customWidth="1"/>
    <col min="11013" max="11013" width="9.7109375" style="111" customWidth="1"/>
    <col min="11014" max="11014" width="11.28515625" style="111" customWidth="1"/>
    <col min="11015" max="11015" width="9.140625" style="111"/>
    <col min="11016" max="11016" width="5.140625" style="111" customWidth="1"/>
    <col min="11017" max="11017" width="11.140625" style="111" customWidth="1"/>
    <col min="11018" max="11019" width="9.140625" style="111"/>
    <col min="11020" max="11021" width="20.7109375" style="111" customWidth="1"/>
    <col min="11022" max="11263" width="9.140625" style="111"/>
    <col min="11264" max="11264" width="45.7109375" style="111" customWidth="1"/>
    <col min="11265" max="11265" width="11.42578125" style="111" customWidth="1"/>
    <col min="11266" max="11266" width="13.28515625" style="111" customWidth="1"/>
    <col min="11267" max="11267" width="10.7109375" style="111" customWidth="1"/>
    <col min="11268" max="11268" width="5.28515625" style="111" customWidth="1"/>
    <col min="11269" max="11269" width="9.7109375" style="111" customWidth="1"/>
    <col min="11270" max="11270" width="11.28515625" style="111" customWidth="1"/>
    <col min="11271" max="11271" width="9.140625" style="111"/>
    <col min="11272" max="11272" width="5.140625" style="111" customWidth="1"/>
    <col min="11273" max="11273" width="11.140625" style="111" customWidth="1"/>
    <col min="11274" max="11275" width="9.140625" style="111"/>
    <col min="11276" max="11277" width="20.7109375" style="111" customWidth="1"/>
    <col min="11278" max="11519" width="9.140625" style="111"/>
    <col min="11520" max="11520" width="45.7109375" style="111" customWidth="1"/>
    <col min="11521" max="11521" width="11.42578125" style="111" customWidth="1"/>
    <col min="11522" max="11522" width="13.28515625" style="111" customWidth="1"/>
    <col min="11523" max="11523" width="10.7109375" style="111" customWidth="1"/>
    <col min="11524" max="11524" width="5.28515625" style="111" customWidth="1"/>
    <col min="11525" max="11525" width="9.7109375" style="111" customWidth="1"/>
    <col min="11526" max="11526" width="11.28515625" style="111" customWidth="1"/>
    <col min="11527" max="11527" width="9.140625" style="111"/>
    <col min="11528" max="11528" width="5.140625" style="111" customWidth="1"/>
    <col min="11529" max="11529" width="11.140625" style="111" customWidth="1"/>
    <col min="11530" max="11531" width="9.140625" style="111"/>
    <col min="11532" max="11533" width="20.7109375" style="111" customWidth="1"/>
    <col min="11534" max="11775" width="9.140625" style="111"/>
    <col min="11776" max="11776" width="45.7109375" style="111" customWidth="1"/>
    <col min="11777" max="11777" width="11.42578125" style="111" customWidth="1"/>
    <col min="11778" max="11778" width="13.28515625" style="111" customWidth="1"/>
    <col min="11779" max="11779" width="10.7109375" style="111" customWidth="1"/>
    <col min="11780" max="11780" width="5.28515625" style="111" customWidth="1"/>
    <col min="11781" max="11781" width="9.7109375" style="111" customWidth="1"/>
    <col min="11782" max="11782" width="11.28515625" style="111" customWidth="1"/>
    <col min="11783" max="11783" width="9.140625" style="111"/>
    <col min="11784" max="11784" width="5.140625" style="111" customWidth="1"/>
    <col min="11785" max="11785" width="11.140625" style="111" customWidth="1"/>
    <col min="11786" max="11787" width="9.140625" style="111"/>
    <col min="11788" max="11789" width="20.7109375" style="111" customWidth="1"/>
    <col min="11790" max="12031" width="9.140625" style="111"/>
    <col min="12032" max="12032" width="45.7109375" style="111" customWidth="1"/>
    <col min="12033" max="12033" width="11.42578125" style="111" customWidth="1"/>
    <col min="12034" max="12034" width="13.28515625" style="111" customWidth="1"/>
    <col min="12035" max="12035" width="10.7109375" style="111" customWidth="1"/>
    <col min="12036" max="12036" width="5.28515625" style="111" customWidth="1"/>
    <col min="12037" max="12037" width="9.7109375" style="111" customWidth="1"/>
    <col min="12038" max="12038" width="11.28515625" style="111" customWidth="1"/>
    <col min="12039" max="12039" width="9.140625" style="111"/>
    <col min="12040" max="12040" width="5.140625" style="111" customWidth="1"/>
    <col min="12041" max="12041" width="11.140625" style="111" customWidth="1"/>
    <col min="12042" max="12043" width="9.140625" style="111"/>
    <col min="12044" max="12045" width="20.7109375" style="111" customWidth="1"/>
    <col min="12046" max="12287" width="9.140625" style="111"/>
    <col min="12288" max="12288" width="45.7109375" style="111" customWidth="1"/>
    <col min="12289" max="12289" width="11.42578125" style="111" customWidth="1"/>
    <col min="12290" max="12290" width="13.28515625" style="111" customWidth="1"/>
    <col min="12291" max="12291" width="10.7109375" style="111" customWidth="1"/>
    <col min="12292" max="12292" width="5.28515625" style="111" customWidth="1"/>
    <col min="12293" max="12293" width="9.7109375" style="111" customWidth="1"/>
    <col min="12294" max="12294" width="11.28515625" style="111" customWidth="1"/>
    <col min="12295" max="12295" width="9.140625" style="111"/>
    <col min="12296" max="12296" width="5.140625" style="111" customWidth="1"/>
    <col min="12297" max="12297" width="11.140625" style="111" customWidth="1"/>
    <col min="12298" max="12299" width="9.140625" style="111"/>
    <col min="12300" max="12301" width="20.7109375" style="111" customWidth="1"/>
    <col min="12302" max="12543" width="9.140625" style="111"/>
    <col min="12544" max="12544" width="45.7109375" style="111" customWidth="1"/>
    <col min="12545" max="12545" width="11.42578125" style="111" customWidth="1"/>
    <col min="12546" max="12546" width="13.28515625" style="111" customWidth="1"/>
    <col min="12547" max="12547" width="10.7109375" style="111" customWidth="1"/>
    <col min="12548" max="12548" width="5.28515625" style="111" customWidth="1"/>
    <col min="12549" max="12549" width="9.7109375" style="111" customWidth="1"/>
    <col min="12550" max="12550" width="11.28515625" style="111" customWidth="1"/>
    <col min="12551" max="12551" width="9.140625" style="111"/>
    <col min="12552" max="12552" width="5.140625" style="111" customWidth="1"/>
    <col min="12553" max="12553" width="11.140625" style="111" customWidth="1"/>
    <col min="12554" max="12555" width="9.140625" style="111"/>
    <col min="12556" max="12557" width="20.7109375" style="111" customWidth="1"/>
    <col min="12558" max="12799" width="9.140625" style="111"/>
    <col min="12800" max="12800" width="45.7109375" style="111" customWidth="1"/>
    <col min="12801" max="12801" width="11.42578125" style="111" customWidth="1"/>
    <col min="12802" max="12802" width="13.28515625" style="111" customWidth="1"/>
    <col min="12803" max="12803" width="10.7109375" style="111" customWidth="1"/>
    <col min="12804" max="12804" width="5.28515625" style="111" customWidth="1"/>
    <col min="12805" max="12805" width="9.7109375" style="111" customWidth="1"/>
    <col min="12806" max="12806" width="11.28515625" style="111" customWidth="1"/>
    <col min="12807" max="12807" width="9.140625" style="111"/>
    <col min="12808" max="12808" width="5.140625" style="111" customWidth="1"/>
    <col min="12809" max="12809" width="11.140625" style="111" customWidth="1"/>
    <col min="12810" max="12811" width="9.140625" style="111"/>
    <col min="12812" max="12813" width="20.7109375" style="111" customWidth="1"/>
    <col min="12814" max="13055" width="9.140625" style="111"/>
    <col min="13056" max="13056" width="45.7109375" style="111" customWidth="1"/>
    <col min="13057" max="13057" width="11.42578125" style="111" customWidth="1"/>
    <col min="13058" max="13058" width="13.28515625" style="111" customWidth="1"/>
    <col min="13059" max="13059" width="10.7109375" style="111" customWidth="1"/>
    <col min="13060" max="13060" width="5.28515625" style="111" customWidth="1"/>
    <col min="13061" max="13061" width="9.7109375" style="111" customWidth="1"/>
    <col min="13062" max="13062" width="11.28515625" style="111" customWidth="1"/>
    <col min="13063" max="13063" width="9.140625" style="111"/>
    <col min="13064" max="13064" width="5.140625" style="111" customWidth="1"/>
    <col min="13065" max="13065" width="11.140625" style="111" customWidth="1"/>
    <col min="13066" max="13067" width="9.140625" style="111"/>
    <col min="13068" max="13069" width="20.7109375" style="111" customWidth="1"/>
    <col min="13070" max="13311" width="9.140625" style="111"/>
    <col min="13312" max="13312" width="45.7109375" style="111" customWidth="1"/>
    <col min="13313" max="13313" width="11.42578125" style="111" customWidth="1"/>
    <col min="13314" max="13314" width="13.28515625" style="111" customWidth="1"/>
    <col min="13315" max="13315" width="10.7109375" style="111" customWidth="1"/>
    <col min="13316" max="13316" width="5.28515625" style="111" customWidth="1"/>
    <col min="13317" max="13317" width="9.7109375" style="111" customWidth="1"/>
    <col min="13318" max="13318" width="11.28515625" style="111" customWidth="1"/>
    <col min="13319" max="13319" width="9.140625" style="111"/>
    <col min="13320" max="13320" width="5.140625" style="111" customWidth="1"/>
    <col min="13321" max="13321" width="11.140625" style="111" customWidth="1"/>
    <col min="13322" max="13323" width="9.140625" style="111"/>
    <col min="13324" max="13325" width="20.7109375" style="111" customWidth="1"/>
    <col min="13326" max="13567" width="9.140625" style="111"/>
    <col min="13568" max="13568" width="45.7109375" style="111" customWidth="1"/>
    <col min="13569" max="13569" width="11.42578125" style="111" customWidth="1"/>
    <col min="13570" max="13570" width="13.28515625" style="111" customWidth="1"/>
    <col min="13571" max="13571" width="10.7109375" style="111" customWidth="1"/>
    <col min="13572" max="13572" width="5.28515625" style="111" customWidth="1"/>
    <col min="13573" max="13573" width="9.7109375" style="111" customWidth="1"/>
    <col min="13574" max="13574" width="11.28515625" style="111" customWidth="1"/>
    <col min="13575" max="13575" width="9.140625" style="111"/>
    <col min="13576" max="13576" width="5.140625" style="111" customWidth="1"/>
    <col min="13577" max="13577" width="11.140625" style="111" customWidth="1"/>
    <col min="13578" max="13579" width="9.140625" style="111"/>
    <col min="13580" max="13581" width="20.7109375" style="111" customWidth="1"/>
    <col min="13582" max="13823" width="9.140625" style="111"/>
    <col min="13824" max="13824" width="45.7109375" style="111" customWidth="1"/>
    <col min="13825" max="13825" width="11.42578125" style="111" customWidth="1"/>
    <col min="13826" max="13826" width="13.28515625" style="111" customWidth="1"/>
    <col min="13827" max="13827" width="10.7109375" style="111" customWidth="1"/>
    <col min="13828" max="13828" width="5.28515625" style="111" customWidth="1"/>
    <col min="13829" max="13829" width="9.7109375" style="111" customWidth="1"/>
    <col min="13830" max="13830" width="11.28515625" style="111" customWidth="1"/>
    <col min="13831" max="13831" width="9.140625" style="111"/>
    <col min="13832" max="13832" width="5.140625" style="111" customWidth="1"/>
    <col min="13833" max="13833" width="11.140625" style="111" customWidth="1"/>
    <col min="13834" max="13835" width="9.140625" style="111"/>
    <col min="13836" max="13837" width="20.7109375" style="111" customWidth="1"/>
    <col min="13838" max="14079" width="9.140625" style="111"/>
    <col min="14080" max="14080" width="45.7109375" style="111" customWidth="1"/>
    <col min="14081" max="14081" width="11.42578125" style="111" customWidth="1"/>
    <col min="14082" max="14082" width="13.28515625" style="111" customWidth="1"/>
    <col min="14083" max="14083" width="10.7109375" style="111" customWidth="1"/>
    <col min="14084" max="14084" width="5.28515625" style="111" customWidth="1"/>
    <col min="14085" max="14085" width="9.7109375" style="111" customWidth="1"/>
    <col min="14086" max="14086" width="11.28515625" style="111" customWidth="1"/>
    <col min="14087" max="14087" width="9.140625" style="111"/>
    <col min="14088" max="14088" width="5.140625" style="111" customWidth="1"/>
    <col min="14089" max="14089" width="11.140625" style="111" customWidth="1"/>
    <col min="14090" max="14091" width="9.140625" style="111"/>
    <col min="14092" max="14093" width="20.7109375" style="111" customWidth="1"/>
    <col min="14094" max="14335" width="9.140625" style="111"/>
    <col min="14336" max="14336" width="45.7109375" style="111" customWidth="1"/>
    <col min="14337" max="14337" width="11.42578125" style="111" customWidth="1"/>
    <col min="14338" max="14338" width="13.28515625" style="111" customWidth="1"/>
    <col min="14339" max="14339" width="10.7109375" style="111" customWidth="1"/>
    <col min="14340" max="14340" width="5.28515625" style="111" customWidth="1"/>
    <col min="14341" max="14341" width="9.7109375" style="111" customWidth="1"/>
    <col min="14342" max="14342" width="11.28515625" style="111" customWidth="1"/>
    <col min="14343" max="14343" width="9.140625" style="111"/>
    <col min="14344" max="14344" width="5.140625" style="111" customWidth="1"/>
    <col min="14345" max="14345" width="11.140625" style="111" customWidth="1"/>
    <col min="14346" max="14347" width="9.140625" style="111"/>
    <col min="14348" max="14349" width="20.7109375" style="111" customWidth="1"/>
    <col min="14350" max="14591" width="9.140625" style="111"/>
    <col min="14592" max="14592" width="45.7109375" style="111" customWidth="1"/>
    <col min="14593" max="14593" width="11.42578125" style="111" customWidth="1"/>
    <col min="14594" max="14594" width="13.28515625" style="111" customWidth="1"/>
    <col min="14595" max="14595" width="10.7109375" style="111" customWidth="1"/>
    <col min="14596" max="14596" width="5.28515625" style="111" customWidth="1"/>
    <col min="14597" max="14597" width="9.7109375" style="111" customWidth="1"/>
    <col min="14598" max="14598" width="11.28515625" style="111" customWidth="1"/>
    <col min="14599" max="14599" width="9.140625" style="111"/>
    <col min="14600" max="14600" width="5.140625" style="111" customWidth="1"/>
    <col min="14601" max="14601" width="11.140625" style="111" customWidth="1"/>
    <col min="14602" max="14603" width="9.140625" style="111"/>
    <col min="14604" max="14605" width="20.7109375" style="111" customWidth="1"/>
    <col min="14606" max="14847" width="9.140625" style="111"/>
    <col min="14848" max="14848" width="45.7109375" style="111" customWidth="1"/>
    <col min="14849" max="14849" width="11.42578125" style="111" customWidth="1"/>
    <col min="14850" max="14850" width="13.28515625" style="111" customWidth="1"/>
    <col min="14851" max="14851" width="10.7109375" style="111" customWidth="1"/>
    <col min="14852" max="14852" width="5.28515625" style="111" customWidth="1"/>
    <col min="14853" max="14853" width="9.7109375" style="111" customWidth="1"/>
    <col min="14854" max="14854" width="11.28515625" style="111" customWidth="1"/>
    <col min="14855" max="14855" width="9.140625" style="111"/>
    <col min="14856" max="14856" width="5.140625" style="111" customWidth="1"/>
    <col min="14857" max="14857" width="11.140625" style="111" customWidth="1"/>
    <col min="14858" max="14859" width="9.140625" style="111"/>
    <col min="14860" max="14861" width="20.7109375" style="111" customWidth="1"/>
    <col min="14862" max="15103" width="9.140625" style="111"/>
    <col min="15104" max="15104" width="45.7109375" style="111" customWidth="1"/>
    <col min="15105" max="15105" width="11.42578125" style="111" customWidth="1"/>
    <col min="15106" max="15106" width="13.28515625" style="111" customWidth="1"/>
    <col min="15107" max="15107" width="10.7109375" style="111" customWidth="1"/>
    <col min="15108" max="15108" width="5.28515625" style="111" customWidth="1"/>
    <col min="15109" max="15109" width="9.7109375" style="111" customWidth="1"/>
    <col min="15110" max="15110" width="11.28515625" style="111" customWidth="1"/>
    <col min="15111" max="15111" width="9.140625" style="111"/>
    <col min="15112" max="15112" width="5.140625" style="111" customWidth="1"/>
    <col min="15113" max="15113" width="11.140625" style="111" customWidth="1"/>
    <col min="15114" max="15115" width="9.140625" style="111"/>
    <col min="15116" max="15117" width="20.7109375" style="111" customWidth="1"/>
    <col min="15118" max="15359" width="9.140625" style="111"/>
    <col min="15360" max="15360" width="45.7109375" style="111" customWidth="1"/>
    <col min="15361" max="15361" width="11.42578125" style="111" customWidth="1"/>
    <col min="15362" max="15362" width="13.28515625" style="111" customWidth="1"/>
    <col min="15363" max="15363" width="10.7109375" style="111" customWidth="1"/>
    <col min="15364" max="15364" width="5.28515625" style="111" customWidth="1"/>
    <col min="15365" max="15365" width="9.7109375" style="111" customWidth="1"/>
    <col min="15366" max="15366" width="11.28515625" style="111" customWidth="1"/>
    <col min="15367" max="15367" width="9.140625" style="111"/>
    <col min="15368" max="15368" width="5.140625" style="111" customWidth="1"/>
    <col min="15369" max="15369" width="11.140625" style="111" customWidth="1"/>
    <col min="15370" max="15371" width="9.140625" style="111"/>
    <col min="15372" max="15373" width="20.7109375" style="111" customWidth="1"/>
    <col min="15374" max="15615" width="9.140625" style="111"/>
    <col min="15616" max="15616" width="45.7109375" style="111" customWidth="1"/>
    <col min="15617" max="15617" width="11.42578125" style="111" customWidth="1"/>
    <col min="15618" max="15618" width="13.28515625" style="111" customWidth="1"/>
    <col min="15619" max="15619" width="10.7109375" style="111" customWidth="1"/>
    <col min="15620" max="15620" width="5.28515625" style="111" customWidth="1"/>
    <col min="15621" max="15621" width="9.7109375" style="111" customWidth="1"/>
    <col min="15622" max="15622" width="11.28515625" style="111" customWidth="1"/>
    <col min="15623" max="15623" width="9.140625" style="111"/>
    <col min="15624" max="15624" width="5.140625" style="111" customWidth="1"/>
    <col min="15625" max="15625" width="11.140625" style="111" customWidth="1"/>
    <col min="15626" max="15627" width="9.140625" style="111"/>
    <col min="15628" max="15629" width="20.7109375" style="111" customWidth="1"/>
    <col min="15630" max="15871" width="9.140625" style="111"/>
    <col min="15872" max="15872" width="45.7109375" style="111" customWidth="1"/>
    <col min="15873" max="15873" width="11.42578125" style="111" customWidth="1"/>
    <col min="15874" max="15874" width="13.28515625" style="111" customWidth="1"/>
    <col min="15875" max="15875" width="10.7109375" style="111" customWidth="1"/>
    <col min="15876" max="15876" width="5.28515625" style="111" customWidth="1"/>
    <col min="15877" max="15877" width="9.7109375" style="111" customWidth="1"/>
    <col min="15878" max="15878" width="11.28515625" style="111" customWidth="1"/>
    <col min="15879" max="15879" width="9.140625" style="111"/>
    <col min="15880" max="15880" width="5.140625" style="111" customWidth="1"/>
    <col min="15881" max="15881" width="11.140625" style="111" customWidth="1"/>
    <col min="15882" max="15883" width="9.140625" style="111"/>
    <col min="15884" max="15885" width="20.7109375" style="111" customWidth="1"/>
    <col min="15886" max="16127" width="9.140625" style="111"/>
    <col min="16128" max="16128" width="45.7109375" style="111" customWidth="1"/>
    <col min="16129" max="16129" width="11.42578125" style="111" customWidth="1"/>
    <col min="16130" max="16130" width="13.28515625" style="111" customWidth="1"/>
    <col min="16131" max="16131" width="10.7109375" style="111" customWidth="1"/>
    <col min="16132" max="16132" width="5.28515625" style="111" customWidth="1"/>
    <col min="16133" max="16133" width="9.7109375" style="111" customWidth="1"/>
    <col min="16134" max="16134" width="11.28515625" style="111" customWidth="1"/>
    <col min="16135" max="16135" width="9.140625" style="111"/>
    <col min="16136" max="16136" width="5.140625" style="111" customWidth="1"/>
    <col min="16137" max="16137" width="11.140625" style="111" customWidth="1"/>
    <col min="16138" max="16139" width="9.140625" style="111"/>
    <col min="16140" max="16141" width="20.7109375" style="111" customWidth="1"/>
    <col min="16142" max="16384" width="9.140625" style="111"/>
  </cols>
  <sheetData>
    <row r="1" spans="1:14">
      <c r="A1" s="111" t="s">
        <v>47</v>
      </c>
    </row>
    <row r="2" spans="1:14">
      <c r="A2" s="111" t="s">
        <v>61</v>
      </c>
    </row>
    <row r="3" spans="1:14">
      <c r="A3" s="138">
        <v>3.68121507E-3</v>
      </c>
    </row>
    <row r="4" spans="1:14">
      <c r="A4" s="138">
        <v>5.9498756599999996E-4</v>
      </c>
    </row>
    <row r="5" spans="1:14">
      <c r="A5" s="138">
        <v>1.7154933200000001E-5</v>
      </c>
    </row>
    <row r="6" spans="1:14">
      <c r="A6" s="138">
        <v>6.2699009400000003E-6</v>
      </c>
    </row>
    <row r="7" spans="1:14">
      <c r="A7" s="138">
        <v>5633.1589999999997</v>
      </c>
    </row>
    <row r="8" spans="1:14">
      <c r="A8" s="113">
        <v>3251</v>
      </c>
    </row>
    <row r="9" spans="1:14">
      <c r="A9" s="111" t="s">
        <v>60</v>
      </c>
    </row>
    <row r="10" spans="1:14">
      <c r="A10" s="111" t="s">
        <v>62</v>
      </c>
    </row>
    <row r="11" spans="1:14" ht="51">
      <c r="A11" s="136" t="s">
        <v>48</v>
      </c>
      <c r="B11" s="137" t="s">
        <v>49</v>
      </c>
      <c r="C11" s="137" t="s">
        <v>50</v>
      </c>
      <c r="D11" s="137" t="s">
        <v>51</v>
      </c>
      <c r="F11" s="177" t="s">
        <v>2971</v>
      </c>
      <c r="G11" s="177" t="s">
        <v>2972</v>
      </c>
      <c r="H11" s="177" t="s">
        <v>2973</v>
      </c>
      <c r="I11" s="177" t="s">
        <v>2974</v>
      </c>
      <c r="J11" s="177" t="s">
        <v>2975</v>
      </c>
      <c r="K11" s="177" t="s">
        <v>2976</v>
      </c>
      <c r="L11" s="177" t="s">
        <v>2977</v>
      </c>
      <c r="M11" s="177" t="s">
        <v>2978</v>
      </c>
    </row>
    <row r="12" spans="1:14">
      <c r="A12" s="114">
        <v>42094.409837962965</v>
      </c>
      <c r="B12" s="112">
        <v>0.996</v>
      </c>
      <c r="C12" s="112">
        <v>5961.4880000000003</v>
      </c>
      <c r="D12" s="112">
        <v>1.006</v>
      </c>
      <c r="F12" s="176">
        <v>1</v>
      </c>
      <c r="G12" s="178">
        <f>A12</f>
        <v>42094.409837962965</v>
      </c>
      <c r="H12" s="178">
        <f>A71</f>
        <v>42094.420497685183</v>
      </c>
      <c r="I12" s="173">
        <f>AVERAGE($D$12:$D$71)</f>
        <v>1.0063000000000004</v>
      </c>
      <c r="J12" s="173">
        <f>STDEV($D$12:$D$71)</f>
        <v>3.9199619506973971E-3</v>
      </c>
      <c r="K12" s="168">
        <f>AVERAGE($B$12:$B$71)</f>
        <v>0.99994999999999956</v>
      </c>
      <c r="L12" s="168">
        <f>STDEV($B$12:$B$71)</f>
        <v>3.0721548778048571E-3</v>
      </c>
      <c r="M12" s="171">
        <f t="shared" ref="M12:M18" si="0">I12-K12</f>
        <v>6.350000000000855E-3</v>
      </c>
      <c r="N12" s="116"/>
    </row>
    <row r="13" spans="1:14">
      <c r="A13" s="114">
        <v>42094.41002314815</v>
      </c>
      <c r="B13" s="112">
        <v>0.996</v>
      </c>
      <c r="C13" s="112">
        <v>5961.3360000000002</v>
      </c>
      <c r="D13" s="112">
        <v>1.0049999999999999</v>
      </c>
      <c r="F13" s="176">
        <v>2</v>
      </c>
      <c r="G13" s="178">
        <f>A72</f>
        <v>42094.447581018518</v>
      </c>
      <c r="H13" s="178">
        <f>A131</f>
        <v>42094.458240740743</v>
      </c>
      <c r="I13" s="173">
        <f>AVERAGE($D$72:$D$131)</f>
        <v>2.0057666666666667</v>
      </c>
      <c r="J13" s="173">
        <f>STDEV($D$72:$D$131)</f>
        <v>2.8425738317061416E-3</v>
      </c>
      <c r="K13" s="168">
        <f>AVERAGE($B$72:$B$131)</f>
        <v>1.999933333333334</v>
      </c>
      <c r="L13" s="168">
        <f>STDEV($B$72:$B$131)</f>
        <v>3.3439379336277241E-3</v>
      </c>
      <c r="M13" s="171">
        <f t="shared" si="0"/>
        <v>5.8333333333326909E-3</v>
      </c>
      <c r="N13" s="116"/>
    </row>
    <row r="14" spans="1:14">
      <c r="A14" s="114">
        <v>42094.410196759258</v>
      </c>
      <c r="B14" s="112">
        <v>0.998</v>
      </c>
      <c r="C14" s="112">
        <v>5961.3280000000004</v>
      </c>
      <c r="D14" s="112">
        <v>1.004</v>
      </c>
      <c r="F14" s="176">
        <v>3</v>
      </c>
      <c r="G14" s="178">
        <f>A132</f>
        <v>42094.485150462962</v>
      </c>
      <c r="H14" s="178">
        <f>A191</f>
        <v>42094.495844907404</v>
      </c>
      <c r="I14" s="173">
        <f>AVERAGE($D$132:$D$191)</f>
        <v>3.0050833333333316</v>
      </c>
      <c r="J14" s="173">
        <f>STDEV($D$132:$D$191)</f>
        <v>6.4549722436783191E-4</v>
      </c>
      <c r="K14" s="168">
        <f>AVERAGE($B$132:$B$191)</f>
        <v>2.9999666666666673</v>
      </c>
      <c r="L14" s="168">
        <f>STDEV($B$132:$B$191)</f>
        <v>2.9799708033301652E-3</v>
      </c>
      <c r="M14" s="171">
        <f t="shared" si="0"/>
        <v>5.1166666666642158E-3</v>
      </c>
      <c r="N14" s="116"/>
    </row>
    <row r="15" spans="1:14">
      <c r="A15" s="114">
        <v>42094.410381944443</v>
      </c>
      <c r="B15" s="112">
        <v>1.0029999999999999</v>
      </c>
      <c r="C15" s="112">
        <v>5961.393</v>
      </c>
      <c r="D15" s="112">
        <v>1.0049999999999999</v>
      </c>
      <c r="F15" s="176">
        <v>4</v>
      </c>
      <c r="G15" s="178">
        <f>A192</f>
        <v>42094.522928240738</v>
      </c>
      <c r="H15" s="178">
        <f>A251</f>
        <v>42094.533622685187</v>
      </c>
      <c r="I15" s="173">
        <f>AVERAGE($D$192:$D$251)</f>
        <v>4.005049999999998</v>
      </c>
      <c r="J15" s="173">
        <f>STDEV($D$192:$D$251)</f>
        <v>7.2310535603918255E-4</v>
      </c>
      <c r="K15" s="168">
        <f>AVERAGE($B$192:$B$251)</f>
        <v>3.9999666666666669</v>
      </c>
      <c r="L15" s="168">
        <f>STDEV($B$192:$B$251)</f>
        <v>3.3646551019089381E-3</v>
      </c>
      <c r="M15" s="171">
        <f t="shared" si="0"/>
        <v>5.0833333333311082E-3</v>
      </c>
      <c r="N15" s="116"/>
    </row>
    <row r="16" spans="1:14">
      <c r="A16" s="114">
        <v>42094.410555555558</v>
      </c>
      <c r="B16" s="112">
        <v>1.0049999999999999</v>
      </c>
      <c r="C16" s="112">
        <v>5962.74</v>
      </c>
      <c r="D16" s="112">
        <v>1.0149999999999999</v>
      </c>
      <c r="F16" s="176">
        <v>5</v>
      </c>
      <c r="G16" s="178">
        <f>A252</f>
        <v>42094.560706018521</v>
      </c>
      <c r="H16" s="178">
        <f>A311</f>
        <v>42094.571412037039</v>
      </c>
      <c r="I16" s="173">
        <f>AVERAGE($D$252:$D$311)</f>
        <v>5.0048999999999966</v>
      </c>
      <c r="J16" s="173">
        <f>STDEV($D$252:$D$311)</f>
        <v>7.5239729858338471E-4</v>
      </c>
      <c r="K16" s="168">
        <f>AVERAGE($B$252:$B$311)</f>
        <v>4.9997833333333341</v>
      </c>
      <c r="L16" s="168">
        <f>STDEV($B$252:$B$311)</f>
        <v>3.2159120627715467E-3</v>
      </c>
      <c r="M16" s="171">
        <f t="shared" si="0"/>
        <v>5.1166666666624394E-3</v>
      </c>
      <c r="N16" s="116"/>
    </row>
    <row r="17" spans="1:14">
      <c r="A17" s="114">
        <v>42094.410740740743</v>
      </c>
      <c r="B17" s="112">
        <v>1.0029999999999999</v>
      </c>
      <c r="C17" s="112">
        <v>5961.5429999999997</v>
      </c>
      <c r="D17" s="112">
        <v>1.006</v>
      </c>
      <c r="F17" s="176">
        <v>6</v>
      </c>
      <c r="G17" s="178">
        <f>A312</f>
        <v>42094.598668981482</v>
      </c>
      <c r="H17" s="178">
        <f>A371</f>
        <v>42094.609386574077</v>
      </c>
      <c r="I17" s="173">
        <f>AVERAGE($D$312:$D$371)</f>
        <v>6.0053333333333283</v>
      </c>
      <c r="J17" s="173">
        <f>STDEV($D$312:$D$371)</f>
        <v>6.80644427111837E-4</v>
      </c>
      <c r="K17" s="168">
        <f>AVERAGE($B$312:$B$371)</f>
        <v>5.9999833333333328</v>
      </c>
      <c r="L17" s="168">
        <f>STDEV($B$312:$B$371)</f>
        <v>3.2442474077876843E-3</v>
      </c>
      <c r="M17" s="171">
        <f t="shared" si="0"/>
        <v>5.349999999995525E-3</v>
      </c>
      <c r="N17" s="116"/>
    </row>
    <row r="18" spans="1:14">
      <c r="A18" s="114">
        <v>42094.410925925928</v>
      </c>
      <c r="B18" s="112">
        <v>0.999</v>
      </c>
      <c r="C18" s="112">
        <v>5961.5410000000002</v>
      </c>
      <c r="D18" s="112">
        <v>1.006</v>
      </c>
      <c r="F18" s="176">
        <v>7</v>
      </c>
      <c r="G18" s="178">
        <f>A372</f>
        <v>42094.636458333334</v>
      </c>
      <c r="H18" s="178">
        <f>A431</f>
        <v>42094.647210648145</v>
      </c>
      <c r="I18" s="173">
        <f>AVERAGE($D$372:$D$431)</f>
        <v>7.0056666666666638</v>
      </c>
      <c r="J18" s="173">
        <f>STDEV($D$372:$D$431)</f>
        <v>1.3736832421331815E-3</v>
      </c>
      <c r="K18" s="168">
        <f>AVERAGE($B$372:$B$431)</f>
        <v>7.0001166666666679</v>
      </c>
      <c r="L18" s="168">
        <f>STDEV($B$372:$B$431)</f>
        <v>2.9232653362272969E-3</v>
      </c>
      <c r="M18" s="171">
        <f t="shared" si="0"/>
        <v>5.5499999999959471E-3</v>
      </c>
      <c r="N18" s="116"/>
    </row>
    <row r="19" spans="1:14">
      <c r="A19" s="114">
        <v>42094.411099537036</v>
      </c>
      <c r="B19" s="112">
        <v>0.996</v>
      </c>
      <c r="C19" s="112">
        <v>5961.48</v>
      </c>
      <c r="D19" s="112">
        <v>1.006</v>
      </c>
      <c r="F19" s="176"/>
      <c r="G19" s="173"/>
      <c r="H19" s="173"/>
      <c r="I19" s="174"/>
      <c r="J19" s="173"/>
      <c r="K19" s="171"/>
      <c r="L19" s="167"/>
      <c r="M19" s="167"/>
    </row>
    <row r="20" spans="1:14">
      <c r="A20" s="114">
        <v>42094.41128472222</v>
      </c>
      <c r="B20" s="112">
        <v>0.996</v>
      </c>
      <c r="C20" s="112">
        <v>5961.3249999999998</v>
      </c>
      <c r="D20" s="112">
        <v>1.004</v>
      </c>
      <c r="F20" s="174"/>
      <c r="G20" s="174"/>
      <c r="H20" s="174"/>
      <c r="I20" s="174"/>
      <c r="J20" s="175"/>
      <c r="K20" s="170"/>
      <c r="L20" s="167"/>
      <c r="M20" s="167"/>
    </row>
    <row r="21" spans="1:14">
      <c r="A21" s="114">
        <v>42094.411469907405</v>
      </c>
      <c r="B21" s="112">
        <v>1</v>
      </c>
      <c r="C21" s="112">
        <v>5961.2950000000001</v>
      </c>
      <c r="D21" s="112">
        <v>1.004</v>
      </c>
    </row>
    <row r="22" spans="1:14">
      <c r="A22" s="114">
        <v>42094.411643518521</v>
      </c>
      <c r="B22" s="112">
        <v>1.0029999999999999</v>
      </c>
      <c r="C22" s="112">
        <v>5961.3580000000002</v>
      </c>
      <c r="D22" s="112">
        <v>1.0049999999999999</v>
      </c>
    </row>
    <row r="23" spans="1:14">
      <c r="A23" s="114">
        <v>42094.411828703705</v>
      </c>
      <c r="B23" s="112">
        <v>1.0029999999999999</v>
      </c>
      <c r="C23" s="112">
        <v>5961.4380000000001</v>
      </c>
      <c r="D23" s="112">
        <v>1.0049999999999999</v>
      </c>
    </row>
    <row r="24" spans="1:14">
      <c r="A24" s="114">
        <v>42094.41201388889</v>
      </c>
      <c r="B24" s="112">
        <v>1.0029999999999999</v>
      </c>
      <c r="C24" s="112">
        <v>5961.4979999999996</v>
      </c>
      <c r="D24" s="112">
        <v>1.006</v>
      </c>
    </row>
    <row r="25" spans="1:14">
      <c r="A25" s="114">
        <v>42094.412187499998</v>
      </c>
      <c r="B25" s="112">
        <v>0.999</v>
      </c>
      <c r="C25" s="112">
        <v>5961.5230000000001</v>
      </c>
      <c r="D25" s="112">
        <v>1.006</v>
      </c>
    </row>
    <row r="26" spans="1:14">
      <c r="A26" s="114">
        <v>42094.412372685183</v>
      </c>
      <c r="B26" s="112">
        <v>0.996</v>
      </c>
      <c r="C26" s="112">
        <v>5961.4129999999996</v>
      </c>
      <c r="D26" s="112">
        <v>1.0049999999999999</v>
      </c>
    </row>
    <row r="27" spans="1:14">
      <c r="A27" s="114">
        <v>42094.412546296298</v>
      </c>
      <c r="B27" s="112">
        <v>0.997</v>
      </c>
      <c r="C27" s="112">
        <v>5962.0010000000002</v>
      </c>
      <c r="D27" s="112">
        <v>1.0089999999999999</v>
      </c>
    </row>
    <row r="28" spans="1:14">
      <c r="A28" s="114">
        <v>42094.412731481483</v>
      </c>
      <c r="B28" s="112">
        <v>0.999</v>
      </c>
      <c r="C28" s="112">
        <v>5961.3249999999998</v>
      </c>
      <c r="D28" s="112">
        <v>1.004</v>
      </c>
    </row>
    <row r="29" spans="1:14">
      <c r="A29" s="114">
        <v>42094.412916666668</v>
      </c>
      <c r="B29" s="112">
        <v>1.002</v>
      </c>
      <c r="C29" s="112">
        <v>5961.375</v>
      </c>
      <c r="D29" s="112">
        <v>1.0049999999999999</v>
      </c>
    </row>
    <row r="30" spans="1:14">
      <c r="A30" s="114">
        <v>42094.413090277776</v>
      </c>
      <c r="B30" s="112">
        <v>1.004</v>
      </c>
      <c r="C30" s="112">
        <v>5961.47</v>
      </c>
      <c r="D30" s="112">
        <v>1.006</v>
      </c>
    </row>
    <row r="31" spans="1:14">
      <c r="A31" s="114">
        <v>42094.413275462961</v>
      </c>
      <c r="B31" s="112">
        <v>1.0029999999999999</v>
      </c>
      <c r="C31" s="112">
        <v>5961.5420000000004</v>
      </c>
      <c r="D31" s="112">
        <v>1.006</v>
      </c>
    </row>
    <row r="32" spans="1:14">
      <c r="A32" s="114">
        <v>42094.413449074076</v>
      </c>
      <c r="B32" s="112">
        <v>0.999</v>
      </c>
      <c r="C32" s="112">
        <v>5962.3360000000002</v>
      </c>
      <c r="D32" s="112">
        <v>1.012</v>
      </c>
    </row>
    <row r="33" spans="1:4">
      <c r="A33" s="114">
        <v>42094.413634259261</v>
      </c>
      <c r="B33" s="112">
        <v>0.998</v>
      </c>
      <c r="C33" s="112">
        <v>5962.2849999999999</v>
      </c>
      <c r="D33" s="112">
        <v>1.012</v>
      </c>
    </row>
    <row r="34" spans="1:4">
      <c r="A34" s="114">
        <v>42094.413819444446</v>
      </c>
      <c r="B34" s="112">
        <v>0.996</v>
      </c>
      <c r="C34" s="112">
        <v>5961.3419999999996</v>
      </c>
      <c r="D34" s="112">
        <v>1.0049999999999999</v>
      </c>
    </row>
    <row r="35" spans="1:4">
      <c r="A35" s="114">
        <v>42094.413993055554</v>
      </c>
      <c r="B35" s="112">
        <v>0.997</v>
      </c>
      <c r="C35" s="112">
        <v>5961.317</v>
      </c>
      <c r="D35" s="112">
        <v>1.004</v>
      </c>
    </row>
    <row r="36" spans="1:4">
      <c r="A36" s="114">
        <v>42094.414178240739</v>
      </c>
      <c r="B36" s="112">
        <v>1.002</v>
      </c>
      <c r="C36" s="112">
        <v>5961.35</v>
      </c>
      <c r="D36" s="112">
        <v>1.0049999999999999</v>
      </c>
    </row>
    <row r="37" spans="1:4">
      <c r="A37" s="114">
        <v>42094.414363425924</v>
      </c>
      <c r="B37" s="112">
        <v>1.0049999999999999</v>
      </c>
      <c r="C37" s="112">
        <v>5961.4549999999999</v>
      </c>
      <c r="D37" s="112">
        <v>1.0049999999999999</v>
      </c>
    </row>
    <row r="38" spans="1:4">
      <c r="A38" s="114">
        <v>42094.414537037039</v>
      </c>
      <c r="B38" s="112">
        <v>1.0049999999999999</v>
      </c>
      <c r="C38" s="112">
        <v>5961.5609999999997</v>
      </c>
      <c r="D38" s="112">
        <v>1.006</v>
      </c>
    </row>
    <row r="39" spans="1:4">
      <c r="A39" s="114">
        <v>42094.414722222224</v>
      </c>
      <c r="B39" s="112">
        <v>1.002</v>
      </c>
      <c r="C39" s="112">
        <v>5961.5990000000002</v>
      </c>
      <c r="D39" s="112">
        <v>1.006</v>
      </c>
    </row>
    <row r="40" spans="1:4">
      <c r="A40" s="114">
        <v>42094.414895833332</v>
      </c>
      <c r="B40" s="112">
        <v>0.997</v>
      </c>
      <c r="C40" s="112">
        <v>5961.5749999999998</v>
      </c>
      <c r="D40" s="112">
        <v>1.006</v>
      </c>
    </row>
    <row r="41" spans="1:4">
      <c r="A41" s="114">
        <v>42094.415081018517</v>
      </c>
      <c r="B41" s="112">
        <v>0.99399999999999999</v>
      </c>
      <c r="C41" s="112">
        <v>5961.42</v>
      </c>
      <c r="D41" s="112">
        <v>1.0049999999999999</v>
      </c>
    </row>
    <row r="42" spans="1:4">
      <c r="A42" s="114">
        <v>42094.415266203701</v>
      </c>
      <c r="B42" s="112">
        <v>0.996</v>
      </c>
      <c r="C42" s="112">
        <v>5961.3329999999996</v>
      </c>
      <c r="D42" s="112">
        <v>1.004</v>
      </c>
    </row>
    <row r="43" spans="1:4">
      <c r="A43" s="114">
        <v>42094.415439814817</v>
      </c>
      <c r="B43" s="112">
        <v>1</v>
      </c>
      <c r="C43" s="112">
        <v>5961.2839999999997</v>
      </c>
      <c r="D43" s="112">
        <v>1.004</v>
      </c>
    </row>
    <row r="44" spans="1:4">
      <c r="A44" s="114">
        <v>42094.415625000001</v>
      </c>
      <c r="B44" s="112">
        <v>1.006</v>
      </c>
      <c r="C44" s="112">
        <v>5961.393</v>
      </c>
      <c r="D44" s="112">
        <v>1.0049999999999999</v>
      </c>
    </row>
    <row r="45" spans="1:4">
      <c r="A45" s="114">
        <v>42094.415798611109</v>
      </c>
      <c r="B45" s="112">
        <v>1.004</v>
      </c>
      <c r="C45" s="112">
        <v>5961.5159999999996</v>
      </c>
      <c r="D45" s="112">
        <v>1.006</v>
      </c>
    </row>
    <row r="46" spans="1:4">
      <c r="A46" s="114">
        <v>42094.415983796294</v>
      </c>
      <c r="B46" s="112">
        <v>0.999</v>
      </c>
      <c r="C46" s="112">
        <v>5961.4530000000004</v>
      </c>
      <c r="D46" s="112">
        <v>1.0049999999999999</v>
      </c>
    </row>
    <row r="47" spans="1:4">
      <c r="A47" s="114">
        <v>42094.416168981479</v>
      </c>
      <c r="B47" s="112">
        <v>0.997</v>
      </c>
      <c r="C47" s="112">
        <v>5961.4290000000001</v>
      </c>
      <c r="D47" s="112">
        <v>1.0049999999999999</v>
      </c>
    </row>
    <row r="48" spans="1:4">
      <c r="A48" s="114">
        <v>42094.416342592594</v>
      </c>
      <c r="B48" s="112">
        <v>0.998</v>
      </c>
      <c r="C48" s="112">
        <v>5961.2969999999996</v>
      </c>
      <c r="D48" s="112">
        <v>1.004</v>
      </c>
    </row>
    <row r="49" spans="1:4">
      <c r="A49" s="114">
        <v>42094.416527777779</v>
      </c>
      <c r="B49" s="112">
        <v>0.999</v>
      </c>
      <c r="C49" s="112">
        <v>5961.3149999999996</v>
      </c>
      <c r="D49" s="112">
        <v>1.004</v>
      </c>
    </row>
    <row r="50" spans="1:4">
      <c r="A50" s="114">
        <v>42094.416701388887</v>
      </c>
      <c r="B50" s="112">
        <v>1.002</v>
      </c>
      <c r="C50" s="112">
        <v>5961.3590000000004</v>
      </c>
      <c r="D50" s="112">
        <v>1.0049999999999999</v>
      </c>
    </row>
    <row r="51" spans="1:4">
      <c r="A51" s="114">
        <v>42094.416886574072</v>
      </c>
      <c r="B51" s="112">
        <v>1.004</v>
      </c>
      <c r="C51" s="112">
        <v>5961.4530000000004</v>
      </c>
      <c r="D51" s="112">
        <v>1.0049999999999999</v>
      </c>
    </row>
    <row r="52" spans="1:4">
      <c r="A52" s="114">
        <v>42094.417071759257</v>
      </c>
      <c r="B52" s="112">
        <v>1.0029999999999999</v>
      </c>
      <c r="C52" s="112">
        <v>5961.8040000000001</v>
      </c>
      <c r="D52" s="112">
        <v>1.008</v>
      </c>
    </row>
    <row r="53" spans="1:4">
      <c r="A53" s="114">
        <v>42094.417245370372</v>
      </c>
      <c r="B53" s="112">
        <v>1.0009999999999999</v>
      </c>
      <c r="C53" s="112">
        <v>5961.5559999999996</v>
      </c>
      <c r="D53" s="112">
        <v>1.006</v>
      </c>
    </row>
    <row r="54" spans="1:4">
      <c r="A54" s="114">
        <v>42094.417430555557</v>
      </c>
      <c r="B54" s="112">
        <v>0.997</v>
      </c>
      <c r="C54" s="112">
        <v>5961.5709999999999</v>
      </c>
      <c r="D54" s="112">
        <v>1.006</v>
      </c>
    </row>
    <row r="55" spans="1:4">
      <c r="A55" s="114">
        <v>42094.417604166665</v>
      </c>
      <c r="B55" s="112">
        <v>0.996</v>
      </c>
      <c r="C55" s="112">
        <v>5961.3720000000003</v>
      </c>
      <c r="D55" s="112">
        <v>1.0049999999999999</v>
      </c>
    </row>
    <row r="56" spans="1:4">
      <c r="A56" s="114">
        <v>42094.41778935185</v>
      </c>
      <c r="B56" s="112">
        <v>0.998</v>
      </c>
      <c r="C56" s="112">
        <v>5961.3149999999996</v>
      </c>
      <c r="D56" s="112">
        <v>1.004</v>
      </c>
    </row>
    <row r="57" spans="1:4">
      <c r="A57" s="114">
        <v>42094.417974537035</v>
      </c>
      <c r="B57" s="112">
        <v>1.0009999999999999</v>
      </c>
      <c r="C57" s="112">
        <v>5961.326</v>
      </c>
      <c r="D57" s="112">
        <v>1.004</v>
      </c>
    </row>
    <row r="58" spans="1:4">
      <c r="A58" s="114">
        <v>42094.41814814815</v>
      </c>
      <c r="B58" s="112">
        <v>1.004</v>
      </c>
      <c r="C58" s="112">
        <v>5961.38</v>
      </c>
      <c r="D58" s="112">
        <v>1.0049999999999999</v>
      </c>
    </row>
    <row r="59" spans="1:4">
      <c r="A59" s="114">
        <v>42094.418333333335</v>
      </c>
      <c r="B59" s="112">
        <v>1.0029999999999999</v>
      </c>
      <c r="C59" s="112">
        <v>5961.4849999999997</v>
      </c>
      <c r="D59" s="112">
        <v>1.006</v>
      </c>
    </row>
    <row r="60" spans="1:4">
      <c r="A60" s="114">
        <v>42094.418506944443</v>
      </c>
      <c r="B60" s="112">
        <v>1.0009999999999999</v>
      </c>
      <c r="C60" s="112">
        <v>5961.518</v>
      </c>
      <c r="D60" s="112">
        <v>1.006</v>
      </c>
    </row>
    <row r="61" spans="1:4">
      <c r="A61" s="114">
        <v>42094.418692129628</v>
      </c>
      <c r="B61" s="112">
        <v>0.998</v>
      </c>
      <c r="C61" s="112">
        <v>5961.5259999999998</v>
      </c>
      <c r="D61" s="112">
        <v>1.006</v>
      </c>
    </row>
    <row r="62" spans="1:4">
      <c r="A62" s="114">
        <v>42094.418877314813</v>
      </c>
      <c r="B62" s="112">
        <v>0.998</v>
      </c>
      <c r="C62" s="112">
        <v>5961.4250000000002</v>
      </c>
      <c r="D62" s="112">
        <v>1.0049999999999999</v>
      </c>
    </row>
    <row r="63" spans="1:4">
      <c r="A63" s="114">
        <v>42094.419062499997</v>
      </c>
      <c r="B63" s="112">
        <v>0.998</v>
      </c>
      <c r="C63" s="112">
        <v>5961.442</v>
      </c>
      <c r="D63" s="112">
        <v>1.0049999999999999</v>
      </c>
    </row>
    <row r="64" spans="1:4">
      <c r="A64" s="114">
        <v>42094.419236111113</v>
      </c>
      <c r="B64" s="112">
        <v>1</v>
      </c>
      <c r="C64" s="112">
        <v>5961.4139999999998</v>
      </c>
      <c r="D64" s="112">
        <v>1.0049999999999999</v>
      </c>
    </row>
    <row r="65" spans="1:4">
      <c r="A65" s="114">
        <v>42094.419421296298</v>
      </c>
      <c r="B65" s="112">
        <v>1.0029999999999999</v>
      </c>
      <c r="C65" s="112">
        <v>5961.4679999999998</v>
      </c>
      <c r="D65" s="112">
        <v>1.006</v>
      </c>
    </row>
    <row r="66" spans="1:4">
      <c r="A66" s="114">
        <v>42094.419594907406</v>
      </c>
      <c r="B66" s="112">
        <v>1.0029999999999999</v>
      </c>
      <c r="C66" s="112">
        <v>5961.5469999999996</v>
      </c>
      <c r="D66" s="112">
        <v>1.006</v>
      </c>
    </row>
    <row r="67" spans="1:4">
      <c r="A67" s="114">
        <v>42094.41978009259</v>
      </c>
      <c r="B67" s="112">
        <v>1</v>
      </c>
      <c r="C67" s="112">
        <v>5961.5510000000004</v>
      </c>
      <c r="D67" s="112">
        <v>1.006</v>
      </c>
    </row>
    <row r="68" spans="1:4">
      <c r="A68" s="114">
        <v>42094.419953703706</v>
      </c>
      <c r="B68" s="112">
        <v>0.997</v>
      </c>
      <c r="C68" s="112">
        <v>5963.3670000000002</v>
      </c>
      <c r="D68" s="112">
        <v>1.02</v>
      </c>
    </row>
    <row r="69" spans="1:4">
      <c r="A69" s="114">
        <v>42094.420138888891</v>
      </c>
      <c r="B69" s="112">
        <v>0.996</v>
      </c>
      <c r="C69" s="112">
        <v>5964.5339999999997</v>
      </c>
      <c r="D69" s="112">
        <v>1.028</v>
      </c>
    </row>
    <row r="70" spans="1:4">
      <c r="A70" s="114">
        <v>42094.420324074075</v>
      </c>
      <c r="B70" s="112">
        <v>0.998</v>
      </c>
      <c r="C70" s="112">
        <v>5961.3680000000004</v>
      </c>
      <c r="D70" s="112">
        <v>1.0049999999999999</v>
      </c>
    </row>
    <row r="71" spans="1:4">
      <c r="A71" s="114">
        <v>42094.420497685183</v>
      </c>
      <c r="B71" s="112">
        <v>1.0009999999999999</v>
      </c>
      <c r="C71" s="112">
        <v>5961.3890000000001</v>
      </c>
      <c r="D71" s="112">
        <v>1.0049999999999999</v>
      </c>
    </row>
    <row r="72" spans="1:4">
      <c r="A72" s="114">
        <v>42094.447581018518</v>
      </c>
      <c r="B72" s="112">
        <v>2</v>
      </c>
      <c r="C72" s="112">
        <v>6096.259</v>
      </c>
      <c r="D72" s="112">
        <v>2.0049999999999999</v>
      </c>
    </row>
    <row r="73" spans="1:4">
      <c r="A73" s="114">
        <v>42094.447766203702</v>
      </c>
      <c r="B73" s="112">
        <v>1.996</v>
      </c>
      <c r="C73" s="112">
        <v>6096.16</v>
      </c>
      <c r="D73" s="112">
        <v>2.0049999999999999</v>
      </c>
    </row>
    <row r="74" spans="1:4">
      <c r="A74" s="114">
        <v>42094.447939814818</v>
      </c>
      <c r="B74" s="112">
        <v>1.9970000000000001</v>
      </c>
      <c r="C74" s="112">
        <v>6096.0959999999995</v>
      </c>
      <c r="D74" s="112">
        <v>2.004</v>
      </c>
    </row>
    <row r="75" spans="1:4">
      <c r="A75" s="114">
        <v>42094.448125000003</v>
      </c>
      <c r="B75" s="112">
        <v>1.998</v>
      </c>
      <c r="C75" s="112">
        <v>6096.0839999999998</v>
      </c>
      <c r="D75" s="112">
        <v>2.004</v>
      </c>
    </row>
    <row r="76" spans="1:4">
      <c r="A76" s="114">
        <v>42094.448298611111</v>
      </c>
      <c r="B76" s="112">
        <v>2.0009999999999999</v>
      </c>
      <c r="C76" s="112">
        <v>6096.4129999999996</v>
      </c>
      <c r="D76" s="112">
        <v>2.0059999999999998</v>
      </c>
    </row>
    <row r="77" spans="1:4">
      <c r="A77" s="114">
        <v>42094.448483796295</v>
      </c>
      <c r="B77" s="112">
        <v>2.0049999999999999</v>
      </c>
      <c r="C77" s="112">
        <v>6096.1989999999996</v>
      </c>
      <c r="D77" s="112">
        <v>2.0049999999999999</v>
      </c>
    </row>
    <row r="78" spans="1:4">
      <c r="A78" s="114">
        <v>42094.44866898148</v>
      </c>
      <c r="B78" s="112">
        <v>2.004</v>
      </c>
      <c r="C78" s="112">
        <v>6096.3310000000001</v>
      </c>
      <c r="D78" s="112">
        <v>2.0059999999999998</v>
      </c>
    </row>
    <row r="79" spans="1:4">
      <c r="A79" s="114">
        <v>42094.448842592596</v>
      </c>
      <c r="B79" s="112">
        <v>2.0009999999999999</v>
      </c>
      <c r="C79" s="112">
        <v>6096.3680000000004</v>
      </c>
      <c r="D79" s="112">
        <v>2.0059999999999998</v>
      </c>
    </row>
    <row r="80" spans="1:4">
      <c r="A80" s="114">
        <v>42094.44902777778</v>
      </c>
      <c r="B80" s="112">
        <v>1.998</v>
      </c>
      <c r="C80" s="112">
        <v>6096.4359999999997</v>
      </c>
      <c r="D80" s="112">
        <v>2.0070000000000001</v>
      </c>
    </row>
    <row r="81" spans="1:4">
      <c r="A81" s="114">
        <v>42094.449201388888</v>
      </c>
      <c r="B81" s="112">
        <v>1.996</v>
      </c>
      <c r="C81" s="112">
        <v>6096.1679999999997</v>
      </c>
      <c r="D81" s="112">
        <v>2.0049999999999999</v>
      </c>
    </row>
    <row r="82" spans="1:4">
      <c r="A82" s="114">
        <v>42094.449386574073</v>
      </c>
      <c r="B82" s="112">
        <v>1.996</v>
      </c>
      <c r="C82" s="112">
        <v>6096.0959999999995</v>
      </c>
      <c r="D82" s="112">
        <v>2.004</v>
      </c>
    </row>
    <row r="83" spans="1:4">
      <c r="A83" s="114">
        <v>42094.449571759258</v>
      </c>
      <c r="B83" s="112">
        <v>2.0009999999999999</v>
      </c>
      <c r="C83" s="112">
        <v>6096.1239999999998</v>
      </c>
      <c r="D83" s="112">
        <v>2.004</v>
      </c>
    </row>
    <row r="84" spans="1:4">
      <c r="A84" s="114">
        <v>42094.449745370373</v>
      </c>
      <c r="B84" s="112">
        <v>2.004</v>
      </c>
      <c r="C84" s="112">
        <v>6096.2039999999997</v>
      </c>
      <c r="D84" s="112">
        <v>2.0049999999999999</v>
      </c>
    </row>
    <row r="85" spans="1:4">
      <c r="A85" s="114">
        <v>42094.449930555558</v>
      </c>
      <c r="B85" s="112">
        <v>2.0049999999999999</v>
      </c>
      <c r="C85" s="112">
        <v>6096.3289999999997</v>
      </c>
      <c r="D85" s="112">
        <v>2.0059999999999998</v>
      </c>
    </row>
    <row r="86" spans="1:4">
      <c r="A86" s="114">
        <v>42094.450115740743</v>
      </c>
      <c r="B86" s="112">
        <v>2.0009999999999999</v>
      </c>
      <c r="C86" s="112">
        <v>6096.3789999999999</v>
      </c>
      <c r="D86" s="112">
        <v>2.0059999999999998</v>
      </c>
    </row>
    <row r="87" spans="1:4">
      <c r="A87" s="114">
        <v>42094.450289351851</v>
      </c>
      <c r="B87" s="112">
        <v>1.9970000000000001</v>
      </c>
      <c r="C87" s="112">
        <v>6096.317</v>
      </c>
      <c r="D87" s="112">
        <v>2.0059999999999998</v>
      </c>
    </row>
    <row r="88" spans="1:4">
      <c r="A88" s="114">
        <v>42094.450474537036</v>
      </c>
      <c r="B88" s="112">
        <v>1.9950000000000001</v>
      </c>
      <c r="C88" s="112">
        <v>6096.2380000000003</v>
      </c>
      <c r="D88" s="112">
        <v>2.0049999999999999</v>
      </c>
    </row>
    <row r="89" spans="1:4">
      <c r="A89" s="114">
        <v>42094.450648148151</v>
      </c>
      <c r="B89" s="112">
        <v>1.996</v>
      </c>
      <c r="C89" s="112">
        <v>6096.0829999999996</v>
      </c>
      <c r="D89" s="112">
        <v>2.004</v>
      </c>
    </row>
    <row r="90" spans="1:4">
      <c r="A90" s="114">
        <v>42094.450833333336</v>
      </c>
      <c r="B90" s="112">
        <v>2.0009999999999999</v>
      </c>
      <c r="C90" s="112">
        <v>6096.0709999999999</v>
      </c>
      <c r="D90" s="112">
        <v>2.004</v>
      </c>
    </row>
    <row r="91" spans="1:4">
      <c r="A91" s="114">
        <v>42094.451018518521</v>
      </c>
      <c r="B91" s="112">
        <v>2.0049999999999999</v>
      </c>
      <c r="C91" s="112">
        <v>6096.1480000000001</v>
      </c>
      <c r="D91" s="112">
        <v>2.004</v>
      </c>
    </row>
    <row r="92" spans="1:4">
      <c r="A92" s="114">
        <v>42094.451192129629</v>
      </c>
      <c r="B92" s="112">
        <v>2.0049999999999999</v>
      </c>
      <c r="C92" s="112">
        <v>6096.299</v>
      </c>
      <c r="D92" s="112">
        <v>2.0059999999999998</v>
      </c>
    </row>
    <row r="93" spans="1:4">
      <c r="A93" s="114">
        <v>42094.451377314814</v>
      </c>
      <c r="B93" s="112">
        <v>2.0019999999999998</v>
      </c>
      <c r="C93" s="112">
        <v>6096.3609999999999</v>
      </c>
      <c r="D93" s="112">
        <v>2.0059999999999998</v>
      </c>
    </row>
    <row r="94" spans="1:4">
      <c r="A94" s="114">
        <v>42094.451562499999</v>
      </c>
      <c r="B94" s="112">
        <v>1.9970000000000001</v>
      </c>
      <c r="C94" s="112">
        <v>6096.3149999999996</v>
      </c>
      <c r="D94" s="112">
        <v>2.0059999999999998</v>
      </c>
    </row>
    <row r="95" spans="1:4">
      <c r="A95" s="114">
        <v>42094.451736111114</v>
      </c>
      <c r="B95" s="112">
        <v>1.994</v>
      </c>
      <c r="C95" s="112">
        <v>6096.14</v>
      </c>
      <c r="D95" s="112">
        <v>2.004</v>
      </c>
    </row>
    <row r="96" spans="1:4">
      <c r="A96" s="114">
        <v>42094.451921296299</v>
      </c>
      <c r="B96" s="112">
        <v>1.9990000000000001</v>
      </c>
      <c r="C96" s="112">
        <v>6096.0929999999998</v>
      </c>
      <c r="D96" s="112">
        <v>2.004</v>
      </c>
    </row>
    <row r="97" spans="1:4">
      <c r="A97" s="114">
        <v>42094.452094907407</v>
      </c>
      <c r="B97" s="112">
        <v>2.0019999999999998</v>
      </c>
      <c r="C97" s="112">
        <v>6096.1549999999997</v>
      </c>
      <c r="D97" s="112">
        <v>2.004</v>
      </c>
    </row>
    <row r="98" spans="1:4">
      <c r="A98" s="114">
        <v>42094.452280092592</v>
      </c>
      <c r="B98" s="112">
        <v>2.004</v>
      </c>
      <c r="C98" s="112">
        <v>6096.2460000000001</v>
      </c>
      <c r="D98" s="112">
        <v>2.0049999999999999</v>
      </c>
    </row>
    <row r="99" spans="1:4">
      <c r="A99" s="114">
        <v>42094.452465277776</v>
      </c>
      <c r="B99" s="112">
        <v>2.0009999999999999</v>
      </c>
      <c r="C99" s="112">
        <v>6096.26</v>
      </c>
      <c r="D99" s="112">
        <v>2.0049999999999999</v>
      </c>
    </row>
    <row r="100" spans="1:4">
      <c r="A100" s="114">
        <v>42094.452638888892</v>
      </c>
      <c r="B100" s="112">
        <v>1.9990000000000001</v>
      </c>
      <c r="C100" s="112">
        <v>6097.701</v>
      </c>
      <c r="D100" s="112">
        <v>2.016</v>
      </c>
    </row>
    <row r="101" spans="1:4">
      <c r="A101" s="114">
        <v>42094.452824074076</v>
      </c>
      <c r="B101" s="112">
        <v>1.9970000000000001</v>
      </c>
      <c r="C101" s="112">
        <v>6096.1940000000004</v>
      </c>
      <c r="D101" s="112">
        <v>2.0049999999999999</v>
      </c>
    </row>
    <row r="102" spans="1:4">
      <c r="A102" s="114">
        <v>42094.452997685185</v>
      </c>
      <c r="B102" s="112">
        <v>1.9970000000000001</v>
      </c>
      <c r="C102" s="112">
        <v>6096.1289999999999</v>
      </c>
      <c r="D102" s="112">
        <v>2.004</v>
      </c>
    </row>
    <row r="103" spans="1:4">
      <c r="A103" s="114">
        <v>42094.453182870369</v>
      </c>
      <c r="B103" s="112">
        <v>2</v>
      </c>
      <c r="C103" s="112">
        <v>6096.0780000000004</v>
      </c>
      <c r="D103" s="112">
        <v>2.004</v>
      </c>
    </row>
    <row r="104" spans="1:4">
      <c r="A104" s="114">
        <v>42094.453368055554</v>
      </c>
      <c r="B104" s="112">
        <v>2.0030000000000001</v>
      </c>
      <c r="C104" s="112">
        <v>6096.1570000000002</v>
      </c>
      <c r="D104" s="112">
        <v>2.004</v>
      </c>
    </row>
    <row r="105" spans="1:4">
      <c r="A105" s="114">
        <v>42094.453541666669</v>
      </c>
      <c r="B105" s="112">
        <v>2.004</v>
      </c>
      <c r="C105" s="112">
        <v>6097.1419999999998</v>
      </c>
      <c r="D105" s="112">
        <v>2.012</v>
      </c>
    </row>
    <row r="106" spans="1:4">
      <c r="A106" s="114">
        <v>42094.453726851854</v>
      </c>
      <c r="B106" s="112">
        <v>2.0009999999999999</v>
      </c>
      <c r="C106" s="112">
        <v>6096.317</v>
      </c>
      <c r="D106" s="112">
        <v>2.0059999999999998</v>
      </c>
    </row>
    <row r="107" spans="1:4">
      <c r="A107" s="114">
        <v>42094.453900462962</v>
      </c>
      <c r="B107" s="112">
        <v>1.9990000000000001</v>
      </c>
      <c r="C107" s="112">
        <v>6096.2730000000001</v>
      </c>
      <c r="D107" s="112">
        <v>2.0049999999999999</v>
      </c>
    </row>
    <row r="108" spans="1:4">
      <c r="A108" s="114">
        <v>42094.454085648147</v>
      </c>
      <c r="B108" s="112">
        <v>1.9970000000000001</v>
      </c>
      <c r="C108" s="112">
        <v>6096.2160000000003</v>
      </c>
      <c r="D108" s="112">
        <v>2.0049999999999999</v>
      </c>
    </row>
    <row r="109" spans="1:4">
      <c r="A109" s="114">
        <v>42094.454270833332</v>
      </c>
      <c r="B109" s="112">
        <v>1.996</v>
      </c>
      <c r="C109" s="112">
        <v>6096.1419999999998</v>
      </c>
      <c r="D109" s="112">
        <v>2.004</v>
      </c>
    </row>
    <row r="110" spans="1:4">
      <c r="A110" s="114">
        <v>42094.454444444447</v>
      </c>
      <c r="B110" s="112">
        <v>1.998</v>
      </c>
      <c r="C110" s="112">
        <v>6096.1049999999996</v>
      </c>
      <c r="D110" s="112">
        <v>2.004</v>
      </c>
    </row>
    <row r="111" spans="1:4">
      <c r="A111" s="114">
        <v>42094.454629629632</v>
      </c>
      <c r="B111" s="112">
        <v>2.0019999999999998</v>
      </c>
      <c r="C111" s="112">
        <v>6096.125</v>
      </c>
      <c r="D111" s="112">
        <v>2.004</v>
      </c>
    </row>
    <row r="112" spans="1:4">
      <c r="A112" s="114">
        <v>42094.454814814817</v>
      </c>
      <c r="B112" s="112">
        <v>2.004</v>
      </c>
      <c r="C112" s="112">
        <v>6096.2269999999999</v>
      </c>
      <c r="D112" s="112">
        <v>2.0049999999999999</v>
      </c>
    </row>
    <row r="113" spans="1:4">
      <c r="A113" s="114">
        <v>42094.454988425925</v>
      </c>
      <c r="B113" s="112">
        <v>2.004</v>
      </c>
      <c r="C113" s="112">
        <v>6097.0429999999997</v>
      </c>
      <c r="D113" s="112">
        <v>2.0110000000000001</v>
      </c>
    </row>
    <row r="114" spans="1:4">
      <c r="A114" s="114">
        <v>42094.45517361111</v>
      </c>
      <c r="B114" s="112">
        <v>2</v>
      </c>
      <c r="C114" s="112">
        <v>6096.3310000000001</v>
      </c>
      <c r="D114" s="112">
        <v>2.0059999999999998</v>
      </c>
    </row>
    <row r="115" spans="1:4">
      <c r="A115" s="114">
        <v>42094.455347222225</v>
      </c>
      <c r="B115" s="112">
        <v>1.996</v>
      </c>
      <c r="C115" s="112">
        <v>6096.2349999999997</v>
      </c>
      <c r="D115" s="112">
        <v>2.0049999999999999</v>
      </c>
    </row>
    <row r="116" spans="1:4">
      <c r="A116" s="114">
        <v>42094.45553240741</v>
      </c>
      <c r="B116" s="112">
        <v>1.9950000000000001</v>
      </c>
      <c r="C116" s="112">
        <v>6096.1180000000004</v>
      </c>
      <c r="D116" s="112">
        <v>2.004</v>
      </c>
    </row>
    <row r="117" spans="1:4">
      <c r="A117" s="114">
        <v>42094.455717592595</v>
      </c>
      <c r="B117" s="112">
        <v>1.998</v>
      </c>
      <c r="C117" s="112">
        <v>6096.0259999999998</v>
      </c>
      <c r="D117" s="112">
        <v>2.004</v>
      </c>
    </row>
    <row r="118" spans="1:4">
      <c r="A118" s="114">
        <v>42094.455891203703</v>
      </c>
      <c r="B118" s="112">
        <v>2.0019999999999998</v>
      </c>
      <c r="C118" s="112">
        <v>6096.0879999999997</v>
      </c>
      <c r="D118" s="112">
        <v>2.004</v>
      </c>
    </row>
    <row r="119" spans="1:4">
      <c r="A119" s="114">
        <v>42094.456076388888</v>
      </c>
      <c r="B119" s="112">
        <v>2.0049999999999999</v>
      </c>
      <c r="C119" s="112">
        <v>6096.2020000000002</v>
      </c>
      <c r="D119" s="112">
        <v>2.0049999999999999</v>
      </c>
    </row>
    <row r="120" spans="1:4">
      <c r="A120" s="114">
        <v>42094.456261574072</v>
      </c>
      <c r="B120" s="112">
        <v>2.004</v>
      </c>
      <c r="C120" s="112">
        <v>6097.3689999999997</v>
      </c>
      <c r="D120" s="112">
        <v>2.0129999999999999</v>
      </c>
    </row>
    <row r="121" spans="1:4">
      <c r="A121" s="114">
        <v>42094.456435185188</v>
      </c>
      <c r="B121" s="112">
        <v>2.0009999999999999</v>
      </c>
      <c r="C121" s="112">
        <v>6096.2920000000004</v>
      </c>
      <c r="D121" s="112">
        <v>2.0049999999999999</v>
      </c>
    </row>
    <row r="122" spans="1:4">
      <c r="A122" s="114">
        <v>42094.456620370373</v>
      </c>
      <c r="B122" s="112">
        <v>1.9950000000000001</v>
      </c>
      <c r="C122" s="112">
        <v>6096.2539999999999</v>
      </c>
      <c r="D122" s="112">
        <v>2.0049999999999999</v>
      </c>
    </row>
    <row r="123" spans="1:4">
      <c r="A123" s="114">
        <v>42094.456793981481</v>
      </c>
      <c r="B123" s="112">
        <v>1.9950000000000001</v>
      </c>
      <c r="C123" s="112">
        <v>6097.9920000000002</v>
      </c>
      <c r="D123" s="112">
        <v>2.0179999999999998</v>
      </c>
    </row>
    <row r="124" spans="1:4">
      <c r="A124" s="114">
        <v>42094.456979166665</v>
      </c>
      <c r="B124" s="112">
        <v>1.998</v>
      </c>
      <c r="C124" s="112">
        <v>6096.0479999999998</v>
      </c>
      <c r="D124" s="112">
        <v>2.004</v>
      </c>
    </row>
    <row r="125" spans="1:4">
      <c r="A125" s="114">
        <v>42094.45716435185</v>
      </c>
      <c r="B125" s="112">
        <v>2.0030000000000001</v>
      </c>
      <c r="C125" s="112">
        <v>6097.0150000000003</v>
      </c>
      <c r="D125" s="112">
        <v>2.0110000000000001</v>
      </c>
    </row>
    <row r="126" spans="1:4">
      <c r="A126" s="114">
        <v>42094.457337962966</v>
      </c>
      <c r="B126" s="112">
        <v>2.0059999999999998</v>
      </c>
      <c r="C126" s="112">
        <v>6096.2520000000004</v>
      </c>
      <c r="D126" s="112">
        <v>2.0049999999999999</v>
      </c>
    </row>
    <row r="127" spans="1:4">
      <c r="A127" s="114">
        <v>42094.45752314815</v>
      </c>
      <c r="B127" s="112">
        <v>2.0009999999999999</v>
      </c>
      <c r="C127" s="112">
        <v>6096.3379999999997</v>
      </c>
      <c r="D127" s="112">
        <v>2.0059999999999998</v>
      </c>
    </row>
    <row r="128" spans="1:4">
      <c r="A128" s="114">
        <v>42094.457696759258</v>
      </c>
      <c r="B128" s="112">
        <v>1.9970000000000001</v>
      </c>
      <c r="C128" s="112">
        <v>6096.2950000000001</v>
      </c>
      <c r="D128" s="112">
        <v>2.0059999999999998</v>
      </c>
    </row>
    <row r="129" spans="1:4">
      <c r="A129" s="114">
        <v>42094.457881944443</v>
      </c>
      <c r="B129" s="112">
        <v>1.996</v>
      </c>
      <c r="C129" s="112">
        <v>6096.1779999999999</v>
      </c>
      <c r="D129" s="112">
        <v>2.0049999999999999</v>
      </c>
    </row>
    <row r="130" spans="1:4">
      <c r="A130" s="114">
        <v>42094.458067129628</v>
      </c>
      <c r="B130" s="112">
        <v>1.9990000000000001</v>
      </c>
      <c r="C130" s="112">
        <v>6096.1620000000003</v>
      </c>
      <c r="D130" s="112">
        <v>2.0049999999999999</v>
      </c>
    </row>
    <row r="131" spans="1:4">
      <c r="A131" s="114">
        <v>42094.458240740743</v>
      </c>
      <c r="B131" s="112">
        <v>2.0030000000000001</v>
      </c>
      <c r="C131" s="112">
        <v>6096.2150000000001</v>
      </c>
      <c r="D131" s="112">
        <v>2.0049999999999999</v>
      </c>
    </row>
    <row r="132" spans="1:4">
      <c r="A132" s="114">
        <v>42094.485150462962</v>
      </c>
      <c r="B132" s="112">
        <v>2.9980000000000002</v>
      </c>
      <c r="C132" s="112">
        <v>6233.223</v>
      </c>
      <c r="D132" s="112">
        <v>3.0049999999999999</v>
      </c>
    </row>
    <row r="133" spans="1:4">
      <c r="A133" s="114">
        <v>42094.485335648147</v>
      </c>
      <c r="B133" s="112">
        <v>2.9990000000000001</v>
      </c>
      <c r="C133" s="112">
        <v>6233.1949999999997</v>
      </c>
      <c r="D133" s="112">
        <v>3.0049999999999999</v>
      </c>
    </row>
    <row r="134" spans="1:4">
      <c r="A134" s="114">
        <v>42094.485509259262</v>
      </c>
      <c r="B134" s="112">
        <v>3.0009999999999999</v>
      </c>
      <c r="C134" s="112">
        <v>6233.2209999999995</v>
      </c>
      <c r="D134" s="112">
        <v>3.0049999999999999</v>
      </c>
    </row>
    <row r="135" spans="1:4">
      <c r="A135" s="114">
        <v>42094.485694444447</v>
      </c>
      <c r="B135" s="112">
        <v>3.0019999999999998</v>
      </c>
      <c r="C135" s="112">
        <v>6233.2849999999999</v>
      </c>
      <c r="D135" s="112">
        <v>3.0049999999999999</v>
      </c>
    </row>
    <row r="136" spans="1:4">
      <c r="A136" s="114">
        <v>42094.485879629632</v>
      </c>
      <c r="B136" s="112">
        <v>3.0019999999999998</v>
      </c>
      <c r="C136" s="112">
        <v>6233.308</v>
      </c>
      <c r="D136" s="112">
        <v>3.0049999999999999</v>
      </c>
    </row>
    <row r="137" spans="1:4">
      <c r="A137" s="114">
        <v>42094.48605324074</v>
      </c>
      <c r="B137" s="112">
        <v>3</v>
      </c>
      <c r="C137" s="112">
        <v>6233.29</v>
      </c>
      <c r="D137" s="112">
        <v>3.0049999999999999</v>
      </c>
    </row>
    <row r="138" spans="1:4">
      <c r="A138" s="114">
        <v>42094.486238425925</v>
      </c>
      <c r="B138" s="112">
        <v>2.996</v>
      </c>
      <c r="C138" s="112">
        <v>6233.2740000000003</v>
      </c>
      <c r="D138" s="112">
        <v>3.0049999999999999</v>
      </c>
    </row>
    <row r="139" spans="1:4">
      <c r="A139" s="114">
        <v>42094.48642361111</v>
      </c>
      <c r="B139" s="112">
        <v>2.9950000000000001</v>
      </c>
      <c r="C139" s="112">
        <v>6233.1279999999997</v>
      </c>
      <c r="D139" s="112">
        <v>3.004</v>
      </c>
    </row>
    <row r="140" spans="1:4">
      <c r="A140" s="114">
        <v>42094.486597222225</v>
      </c>
      <c r="B140" s="112">
        <v>2.9990000000000001</v>
      </c>
      <c r="C140" s="112">
        <v>6233.1090000000004</v>
      </c>
      <c r="D140" s="112">
        <v>3.004</v>
      </c>
    </row>
    <row r="141" spans="1:4">
      <c r="A141" s="114">
        <v>42094.48678240741</v>
      </c>
      <c r="B141" s="112">
        <v>3.0030000000000001</v>
      </c>
      <c r="C141" s="112">
        <v>6233.23</v>
      </c>
      <c r="D141" s="112">
        <v>3.0049999999999999</v>
      </c>
    </row>
    <row r="142" spans="1:4">
      <c r="A142" s="114">
        <v>42094.486956018518</v>
      </c>
      <c r="B142" s="112">
        <v>3.0049999999999999</v>
      </c>
      <c r="C142" s="112">
        <v>6233.3509999999997</v>
      </c>
      <c r="D142" s="112">
        <v>3.0059999999999998</v>
      </c>
    </row>
    <row r="143" spans="1:4">
      <c r="A143" s="114">
        <v>42094.487141203703</v>
      </c>
      <c r="B143" s="112">
        <v>3.0019999999999998</v>
      </c>
      <c r="C143" s="112">
        <v>6233.393</v>
      </c>
      <c r="D143" s="112">
        <v>3.0059999999999998</v>
      </c>
    </row>
    <row r="144" spans="1:4">
      <c r="A144" s="114">
        <v>42094.487326388888</v>
      </c>
      <c r="B144" s="112">
        <v>2.9990000000000001</v>
      </c>
      <c r="C144" s="112">
        <v>6233.4129999999996</v>
      </c>
      <c r="D144" s="112">
        <v>3.0059999999999998</v>
      </c>
    </row>
    <row r="145" spans="1:4">
      <c r="A145" s="114">
        <v>42094.487500000003</v>
      </c>
      <c r="B145" s="112">
        <v>2.996</v>
      </c>
      <c r="C145" s="112">
        <v>6233.3159999999998</v>
      </c>
      <c r="D145" s="112">
        <v>3.0049999999999999</v>
      </c>
    </row>
    <row r="146" spans="1:4">
      <c r="A146" s="114">
        <v>42094.487685185188</v>
      </c>
      <c r="B146" s="112">
        <v>2.9969999999999999</v>
      </c>
      <c r="C146" s="112">
        <v>6233.2439999999997</v>
      </c>
      <c r="D146" s="112">
        <v>3.0049999999999999</v>
      </c>
    </row>
    <row r="147" spans="1:4">
      <c r="A147" s="114">
        <v>42094.487870370373</v>
      </c>
      <c r="B147" s="112">
        <v>2.9990000000000001</v>
      </c>
      <c r="C147" s="112">
        <v>6233.1670000000004</v>
      </c>
      <c r="D147" s="112">
        <v>3.004</v>
      </c>
    </row>
    <row r="148" spans="1:4">
      <c r="A148" s="114">
        <v>42094.488043981481</v>
      </c>
      <c r="B148" s="112">
        <v>3.0030000000000001</v>
      </c>
      <c r="C148" s="112">
        <v>6233.2330000000002</v>
      </c>
      <c r="D148" s="112">
        <v>3.0049999999999999</v>
      </c>
    </row>
    <row r="149" spans="1:4">
      <c r="A149" s="114">
        <v>42094.488229166665</v>
      </c>
      <c r="B149" s="112">
        <v>3.004</v>
      </c>
      <c r="C149" s="112">
        <v>6233.34</v>
      </c>
      <c r="D149" s="112">
        <v>3.0059999999999998</v>
      </c>
    </row>
    <row r="150" spans="1:4">
      <c r="A150" s="114">
        <v>42094.488402777781</v>
      </c>
      <c r="B150" s="112">
        <v>3.0030000000000001</v>
      </c>
      <c r="C150" s="112">
        <v>6233.4210000000003</v>
      </c>
      <c r="D150" s="112">
        <v>3.0059999999999998</v>
      </c>
    </row>
    <row r="151" spans="1:4">
      <c r="A151" s="114">
        <v>42094.488587962966</v>
      </c>
      <c r="B151" s="112">
        <v>3</v>
      </c>
      <c r="C151" s="112">
        <v>6233.4279999999999</v>
      </c>
      <c r="D151" s="112">
        <v>3.0059999999999998</v>
      </c>
    </row>
    <row r="152" spans="1:4">
      <c r="A152" s="114">
        <v>42094.48877314815</v>
      </c>
      <c r="B152" s="112">
        <v>2.9969999999999999</v>
      </c>
      <c r="C152" s="112">
        <v>6233.366</v>
      </c>
      <c r="D152" s="112">
        <v>3.0059999999999998</v>
      </c>
    </row>
    <row r="153" spans="1:4">
      <c r="A153" s="114">
        <v>42094.488946759258</v>
      </c>
      <c r="B153" s="112">
        <v>2.996</v>
      </c>
      <c r="C153" s="112">
        <v>6233.2</v>
      </c>
      <c r="D153" s="112">
        <v>3.0049999999999999</v>
      </c>
    </row>
    <row r="154" spans="1:4">
      <c r="A154" s="114">
        <v>42094.489131944443</v>
      </c>
      <c r="B154" s="112">
        <v>2.9980000000000002</v>
      </c>
      <c r="C154" s="112">
        <v>6233.1620000000003</v>
      </c>
      <c r="D154" s="112">
        <v>3.004</v>
      </c>
    </row>
    <row r="155" spans="1:4">
      <c r="A155" s="114">
        <v>42094.489317129628</v>
      </c>
      <c r="B155" s="112">
        <v>3.0009999999999999</v>
      </c>
      <c r="C155" s="112">
        <v>6233.2110000000002</v>
      </c>
      <c r="D155" s="112">
        <v>3.0049999999999999</v>
      </c>
    </row>
    <row r="156" spans="1:4">
      <c r="A156" s="114">
        <v>42094.489490740743</v>
      </c>
      <c r="B156" s="112">
        <v>3.0049999999999999</v>
      </c>
      <c r="C156" s="112">
        <v>6233.3109999999997</v>
      </c>
      <c r="D156" s="112">
        <v>3.0049999999999999</v>
      </c>
    </row>
    <row r="157" spans="1:4">
      <c r="A157" s="114">
        <v>42094.489675925928</v>
      </c>
      <c r="B157" s="112">
        <v>3.0049999999999999</v>
      </c>
      <c r="C157" s="112">
        <v>6233.4279999999999</v>
      </c>
      <c r="D157" s="112">
        <v>3.0059999999999998</v>
      </c>
    </row>
    <row r="158" spans="1:4">
      <c r="A158" s="114">
        <v>42094.489849537036</v>
      </c>
      <c r="B158" s="112">
        <v>3.0019999999999998</v>
      </c>
      <c r="C158" s="112">
        <v>6233.442</v>
      </c>
      <c r="D158" s="112">
        <v>3.0059999999999998</v>
      </c>
    </row>
    <row r="159" spans="1:4">
      <c r="A159" s="114">
        <v>42094.490034722221</v>
      </c>
      <c r="B159" s="112">
        <v>2.996</v>
      </c>
      <c r="C159" s="112">
        <v>6233.3040000000001</v>
      </c>
      <c r="D159" s="112">
        <v>3.0049999999999999</v>
      </c>
    </row>
    <row r="160" spans="1:4">
      <c r="A160" s="114">
        <v>42094.490219907406</v>
      </c>
      <c r="B160" s="112">
        <v>2.9940000000000002</v>
      </c>
      <c r="C160" s="112">
        <v>6233.2129999999997</v>
      </c>
      <c r="D160" s="112">
        <v>3.0049999999999999</v>
      </c>
    </row>
    <row r="161" spans="1:4">
      <c r="A161" s="114">
        <v>42094.490393518521</v>
      </c>
      <c r="B161" s="112">
        <v>3.0030000000000001</v>
      </c>
      <c r="C161" s="112">
        <v>6233.2150000000001</v>
      </c>
      <c r="D161" s="112">
        <v>3.0049999999999999</v>
      </c>
    </row>
    <row r="162" spans="1:4">
      <c r="A162" s="114">
        <v>42094.490578703706</v>
      </c>
      <c r="B162" s="112">
        <v>3.0049999999999999</v>
      </c>
      <c r="C162" s="112">
        <v>6233.3429999999998</v>
      </c>
      <c r="D162" s="112">
        <v>3.0059999999999998</v>
      </c>
    </row>
    <row r="163" spans="1:4">
      <c r="A163" s="114">
        <v>42094.490763888891</v>
      </c>
      <c r="B163" s="112">
        <v>3.0009999999999999</v>
      </c>
      <c r="C163" s="112">
        <v>6233.3440000000001</v>
      </c>
      <c r="D163" s="112">
        <v>3.0059999999999998</v>
      </c>
    </row>
    <row r="164" spans="1:4">
      <c r="A164" s="114">
        <v>42094.490937499999</v>
      </c>
      <c r="B164" s="112">
        <v>2.9969999999999999</v>
      </c>
      <c r="C164" s="112">
        <v>6233.3029999999999</v>
      </c>
      <c r="D164" s="112">
        <v>3.0049999999999999</v>
      </c>
    </row>
    <row r="165" spans="1:4">
      <c r="A165" s="114">
        <v>42094.491122685184</v>
      </c>
      <c r="B165" s="112">
        <v>2.9950000000000001</v>
      </c>
      <c r="C165" s="112">
        <v>6233.1570000000002</v>
      </c>
      <c r="D165" s="112">
        <v>3.004</v>
      </c>
    </row>
    <row r="166" spans="1:4">
      <c r="A166" s="114">
        <v>42094.491296296299</v>
      </c>
      <c r="B166" s="112">
        <v>2.9969999999999999</v>
      </c>
      <c r="C166" s="112">
        <v>6233.1059999999998</v>
      </c>
      <c r="D166" s="112">
        <v>3.004</v>
      </c>
    </row>
    <row r="167" spans="1:4">
      <c r="A167" s="114">
        <v>42094.491481481484</v>
      </c>
      <c r="B167" s="112">
        <v>3.0019999999999998</v>
      </c>
      <c r="C167" s="112">
        <v>6233.1660000000002</v>
      </c>
      <c r="D167" s="112">
        <v>3.004</v>
      </c>
    </row>
    <row r="168" spans="1:4">
      <c r="A168" s="114">
        <v>42094.491666666669</v>
      </c>
      <c r="B168" s="112">
        <v>3.0049999999999999</v>
      </c>
      <c r="C168" s="112">
        <v>6233.2659999999996</v>
      </c>
      <c r="D168" s="112">
        <v>3.0049999999999999</v>
      </c>
    </row>
    <row r="169" spans="1:4">
      <c r="A169" s="114">
        <v>42094.491840277777</v>
      </c>
      <c r="B169" s="112">
        <v>3.0049999999999999</v>
      </c>
      <c r="C169" s="112">
        <v>6233.3760000000002</v>
      </c>
      <c r="D169" s="112">
        <v>3.0059999999999998</v>
      </c>
    </row>
    <row r="170" spans="1:4">
      <c r="A170" s="114">
        <v>42094.492025462961</v>
      </c>
      <c r="B170" s="112">
        <v>3.0009999999999999</v>
      </c>
      <c r="C170" s="112">
        <v>6233.4120000000003</v>
      </c>
      <c r="D170" s="112">
        <v>3.0059999999999998</v>
      </c>
    </row>
    <row r="171" spans="1:4">
      <c r="A171" s="114">
        <v>42094.492210648146</v>
      </c>
      <c r="B171" s="112">
        <v>2.996</v>
      </c>
      <c r="C171" s="112">
        <v>6233.299</v>
      </c>
      <c r="D171" s="112">
        <v>3.0049999999999999</v>
      </c>
    </row>
    <row r="172" spans="1:4">
      <c r="A172" s="114">
        <v>42094.492384259262</v>
      </c>
      <c r="B172" s="112">
        <v>2.996</v>
      </c>
      <c r="C172" s="112">
        <v>6233.22</v>
      </c>
      <c r="D172" s="112">
        <v>3.0049999999999999</v>
      </c>
    </row>
    <row r="173" spans="1:4">
      <c r="A173" s="114">
        <v>42094.492569444446</v>
      </c>
      <c r="B173" s="112">
        <v>3.0009999999999999</v>
      </c>
      <c r="C173" s="112">
        <v>6233.1869999999999</v>
      </c>
      <c r="D173" s="112">
        <v>3.0049999999999999</v>
      </c>
    </row>
    <row r="174" spans="1:4">
      <c r="A174" s="114">
        <v>42094.492754629631</v>
      </c>
      <c r="B174" s="112">
        <v>3.0019999999999998</v>
      </c>
      <c r="C174" s="112">
        <v>6233.2349999999997</v>
      </c>
      <c r="D174" s="112">
        <v>3.0049999999999999</v>
      </c>
    </row>
    <row r="175" spans="1:4">
      <c r="A175" s="114">
        <v>42094.492928240739</v>
      </c>
      <c r="B175" s="112">
        <v>3.0019999999999998</v>
      </c>
      <c r="C175" s="112">
        <v>6233.3010000000004</v>
      </c>
      <c r="D175" s="112">
        <v>3.0049999999999999</v>
      </c>
    </row>
    <row r="176" spans="1:4">
      <c r="A176" s="114">
        <v>42094.493113425924</v>
      </c>
      <c r="B176" s="112">
        <v>3</v>
      </c>
      <c r="C176" s="112">
        <v>6233.3119999999999</v>
      </c>
      <c r="D176" s="112">
        <v>3.0049999999999999</v>
      </c>
    </row>
    <row r="177" spans="1:4">
      <c r="A177" s="114">
        <v>42094.493298611109</v>
      </c>
      <c r="B177" s="112">
        <v>2.996</v>
      </c>
      <c r="C177" s="112">
        <v>6233.22</v>
      </c>
      <c r="D177" s="112">
        <v>3.0049999999999999</v>
      </c>
    </row>
    <row r="178" spans="1:4">
      <c r="A178" s="114">
        <v>42094.493472222224</v>
      </c>
      <c r="B178" s="112">
        <v>2.9980000000000002</v>
      </c>
      <c r="C178" s="112">
        <v>6233.1490000000003</v>
      </c>
      <c r="D178" s="112">
        <v>3.004</v>
      </c>
    </row>
    <row r="179" spans="1:4">
      <c r="A179" s="114">
        <v>42094.493657407409</v>
      </c>
      <c r="B179" s="112">
        <v>3</v>
      </c>
      <c r="C179" s="112">
        <v>6233.1719999999996</v>
      </c>
      <c r="D179" s="112">
        <v>3.004</v>
      </c>
    </row>
    <row r="180" spans="1:4">
      <c r="A180" s="114">
        <v>42094.493842592594</v>
      </c>
      <c r="B180" s="112">
        <v>3.0009999999999999</v>
      </c>
      <c r="C180" s="112">
        <v>6233.2389999999996</v>
      </c>
      <c r="D180" s="112">
        <v>3.0049999999999999</v>
      </c>
    </row>
    <row r="181" spans="1:4">
      <c r="A181" s="114">
        <v>42094.494016203702</v>
      </c>
      <c r="B181" s="112">
        <v>3.0019999999999998</v>
      </c>
      <c r="C181" s="112">
        <v>6233.2809999999999</v>
      </c>
      <c r="D181" s="112">
        <v>3.0049999999999999</v>
      </c>
    </row>
    <row r="182" spans="1:4">
      <c r="A182" s="114">
        <v>42094.494201388887</v>
      </c>
      <c r="B182" s="112">
        <v>3.0009999999999999</v>
      </c>
      <c r="C182" s="112">
        <v>6233.3130000000001</v>
      </c>
      <c r="D182" s="112">
        <v>3.0049999999999999</v>
      </c>
    </row>
    <row r="183" spans="1:4">
      <c r="A183" s="114">
        <v>42094.494386574072</v>
      </c>
      <c r="B183" s="112">
        <v>2.9990000000000001</v>
      </c>
      <c r="C183" s="112">
        <v>6233.308</v>
      </c>
      <c r="D183" s="112">
        <v>3.0049999999999999</v>
      </c>
    </row>
    <row r="184" spans="1:4">
      <c r="A184" s="114">
        <v>42094.494560185187</v>
      </c>
      <c r="B184" s="112">
        <v>2.9969999999999999</v>
      </c>
      <c r="C184" s="112">
        <v>6233.2370000000001</v>
      </c>
      <c r="D184" s="112">
        <v>3.0049999999999999</v>
      </c>
    </row>
    <row r="185" spans="1:4">
      <c r="A185" s="114">
        <v>42094.494745370372</v>
      </c>
      <c r="B185" s="112">
        <v>2.9990000000000001</v>
      </c>
      <c r="C185" s="112">
        <v>6233.2110000000002</v>
      </c>
      <c r="D185" s="112">
        <v>3.0049999999999999</v>
      </c>
    </row>
    <row r="186" spans="1:4">
      <c r="A186" s="114">
        <v>42094.494930555556</v>
      </c>
      <c r="B186" s="112">
        <v>3.0009999999999999</v>
      </c>
      <c r="C186" s="112">
        <v>6233.2240000000002</v>
      </c>
      <c r="D186" s="112">
        <v>3.0049999999999999</v>
      </c>
    </row>
    <row r="187" spans="1:4">
      <c r="A187" s="114">
        <v>42094.495115740741</v>
      </c>
      <c r="B187" s="112">
        <v>3.0019999999999998</v>
      </c>
      <c r="C187" s="112">
        <v>6233.2820000000002</v>
      </c>
      <c r="D187" s="112">
        <v>3.0049999999999999</v>
      </c>
    </row>
    <row r="188" spans="1:4">
      <c r="A188" s="114">
        <v>42094.495289351849</v>
      </c>
      <c r="B188" s="112">
        <v>3.0019999999999998</v>
      </c>
      <c r="C188" s="112">
        <v>6233.3270000000002</v>
      </c>
      <c r="D188" s="112">
        <v>3.0059999999999998</v>
      </c>
    </row>
    <row r="189" spans="1:4">
      <c r="A189" s="114">
        <v>42094.495474537034</v>
      </c>
      <c r="B189" s="112">
        <v>3</v>
      </c>
      <c r="C189" s="112">
        <v>6233.3289999999997</v>
      </c>
      <c r="D189" s="112">
        <v>3.0059999999999998</v>
      </c>
    </row>
    <row r="190" spans="1:4">
      <c r="A190" s="114">
        <v>42094.495659722219</v>
      </c>
      <c r="B190" s="112">
        <v>2.9969999999999999</v>
      </c>
      <c r="C190" s="112">
        <v>6233.27</v>
      </c>
      <c r="D190" s="112">
        <v>3.0049999999999999</v>
      </c>
    </row>
    <row r="191" spans="1:4">
      <c r="A191" s="114">
        <v>42094.495844907404</v>
      </c>
      <c r="B191" s="112">
        <v>2.9980000000000002</v>
      </c>
      <c r="C191" s="112">
        <v>6233.1549999999997</v>
      </c>
      <c r="D191" s="112">
        <v>3.004</v>
      </c>
    </row>
    <row r="192" spans="1:4">
      <c r="A192" s="114">
        <v>42094.522928240738</v>
      </c>
      <c r="B192" s="112">
        <v>4.0030000000000001</v>
      </c>
      <c r="C192" s="112">
        <v>6372.5079999999998</v>
      </c>
      <c r="D192" s="112">
        <v>4.0049999999999999</v>
      </c>
    </row>
    <row r="193" spans="1:4">
      <c r="A193" s="114">
        <v>42094.523101851853</v>
      </c>
      <c r="B193" s="112">
        <v>4.0019999999999998</v>
      </c>
      <c r="C193" s="112">
        <v>6372.5519999999997</v>
      </c>
      <c r="D193" s="112">
        <v>4.0049999999999999</v>
      </c>
    </row>
    <row r="194" spans="1:4">
      <c r="A194" s="114">
        <v>42094.523287037038</v>
      </c>
      <c r="B194" s="112">
        <v>4</v>
      </c>
      <c r="C194" s="112">
        <v>6372.5129999999999</v>
      </c>
      <c r="D194" s="112">
        <v>4.0049999999999999</v>
      </c>
    </row>
    <row r="195" spans="1:4">
      <c r="A195" s="114">
        <v>42094.523472222223</v>
      </c>
      <c r="B195" s="112">
        <v>3.9969999999999999</v>
      </c>
      <c r="C195" s="112">
        <v>6372.4480000000003</v>
      </c>
      <c r="D195" s="112">
        <v>4.0049999999999999</v>
      </c>
    </row>
    <row r="196" spans="1:4">
      <c r="A196" s="114">
        <v>42094.523645833331</v>
      </c>
      <c r="B196" s="112">
        <v>3.996</v>
      </c>
      <c r="C196" s="112">
        <v>6372.3789999999999</v>
      </c>
      <c r="D196" s="112">
        <v>4.0039999999999996</v>
      </c>
    </row>
    <row r="197" spans="1:4">
      <c r="A197" s="114">
        <v>42094.523831018516</v>
      </c>
      <c r="B197" s="112">
        <v>3.9990000000000001</v>
      </c>
      <c r="C197" s="112">
        <v>6372.3720000000003</v>
      </c>
      <c r="D197" s="112">
        <v>4.0039999999999996</v>
      </c>
    </row>
    <row r="198" spans="1:4">
      <c r="A198" s="114">
        <v>42094.524016203701</v>
      </c>
      <c r="B198" s="112">
        <v>4.0019999999999998</v>
      </c>
      <c r="C198" s="112">
        <v>6372.4030000000002</v>
      </c>
      <c r="D198" s="112">
        <v>4.0039999999999996</v>
      </c>
    </row>
    <row r="199" spans="1:4">
      <c r="A199" s="114">
        <v>42094.524189814816</v>
      </c>
      <c r="B199" s="112">
        <v>4.0039999999999996</v>
      </c>
      <c r="C199" s="112">
        <v>6372.5060000000003</v>
      </c>
      <c r="D199" s="112">
        <v>4.0049999999999999</v>
      </c>
    </row>
    <row r="200" spans="1:4">
      <c r="A200" s="114">
        <v>42094.524375000001</v>
      </c>
      <c r="B200" s="112">
        <v>4.0030000000000001</v>
      </c>
      <c r="C200" s="112">
        <v>6372.598</v>
      </c>
      <c r="D200" s="112">
        <v>4.0060000000000002</v>
      </c>
    </row>
    <row r="201" spans="1:4">
      <c r="A201" s="114">
        <v>42094.524560185186</v>
      </c>
      <c r="B201" s="112">
        <v>3.9990000000000001</v>
      </c>
      <c r="C201" s="112">
        <v>6372.585</v>
      </c>
      <c r="D201" s="112">
        <v>4.0060000000000002</v>
      </c>
    </row>
    <row r="202" spans="1:4">
      <c r="A202" s="114">
        <v>42094.524733796294</v>
      </c>
      <c r="B202" s="112">
        <v>3.996</v>
      </c>
      <c r="C202" s="112">
        <v>6372.5119999999997</v>
      </c>
      <c r="D202" s="112">
        <v>4.0049999999999999</v>
      </c>
    </row>
    <row r="203" spans="1:4">
      <c r="A203" s="114">
        <v>42094.524918981479</v>
      </c>
      <c r="B203" s="112">
        <v>3.9950000000000001</v>
      </c>
      <c r="C203" s="112">
        <v>6372.4049999999997</v>
      </c>
      <c r="D203" s="112">
        <v>4.0039999999999996</v>
      </c>
    </row>
    <row r="204" spans="1:4">
      <c r="A204" s="114">
        <v>42094.525104166663</v>
      </c>
      <c r="B204" s="112">
        <v>4</v>
      </c>
      <c r="C204" s="112">
        <v>6372.38</v>
      </c>
      <c r="D204" s="112">
        <v>4.0039999999999996</v>
      </c>
    </row>
    <row r="205" spans="1:4">
      <c r="A205" s="114">
        <v>42094.525277777779</v>
      </c>
      <c r="B205" s="112">
        <v>4.0030000000000001</v>
      </c>
      <c r="C205" s="112">
        <v>6372.4489999999996</v>
      </c>
      <c r="D205" s="112">
        <v>4.0049999999999999</v>
      </c>
    </row>
    <row r="206" spans="1:4">
      <c r="A206" s="114">
        <v>42094.525462962964</v>
      </c>
      <c r="B206" s="112">
        <v>4.0039999999999996</v>
      </c>
      <c r="C206" s="112">
        <v>6372.5780000000004</v>
      </c>
      <c r="D206" s="112">
        <v>4.0060000000000002</v>
      </c>
    </row>
    <row r="207" spans="1:4">
      <c r="A207" s="114">
        <v>42094.525648148148</v>
      </c>
      <c r="B207" s="112">
        <v>4.0019999999999998</v>
      </c>
      <c r="C207" s="112">
        <v>6372.6580000000004</v>
      </c>
      <c r="D207" s="112">
        <v>4.0060000000000002</v>
      </c>
    </row>
    <row r="208" spans="1:4">
      <c r="A208" s="114">
        <v>42094.525821759256</v>
      </c>
      <c r="B208" s="112">
        <v>3.9990000000000001</v>
      </c>
      <c r="C208" s="112">
        <v>6372.6310000000003</v>
      </c>
      <c r="D208" s="112">
        <v>4.0060000000000002</v>
      </c>
    </row>
    <row r="209" spans="1:4">
      <c r="A209" s="114">
        <v>42094.526006944441</v>
      </c>
      <c r="B209" s="112">
        <v>3.996</v>
      </c>
      <c r="C209" s="112">
        <v>6372.4859999999999</v>
      </c>
      <c r="D209" s="112">
        <v>4.0049999999999999</v>
      </c>
    </row>
    <row r="210" spans="1:4">
      <c r="A210" s="114">
        <v>42094.526192129626</v>
      </c>
      <c r="B210" s="112">
        <v>3.9969999999999999</v>
      </c>
      <c r="C210" s="112">
        <v>6372.509</v>
      </c>
      <c r="D210" s="112">
        <v>4.0049999999999999</v>
      </c>
    </row>
    <row r="211" spans="1:4">
      <c r="A211" s="114">
        <v>42094.526365740741</v>
      </c>
      <c r="B211" s="112">
        <v>3.9980000000000002</v>
      </c>
      <c r="C211" s="112">
        <v>6372.4179999999997</v>
      </c>
      <c r="D211" s="112">
        <v>4.0039999999999996</v>
      </c>
    </row>
    <row r="212" spans="1:4">
      <c r="A212" s="114">
        <v>42094.526550925926</v>
      </c>
      <c r="B212" s="112">
        <v>4.0030000000000001</v>
      </c>
      <c r="C212" s="112">
        <v>6372.5060000000003</v>
      </c>
      <c r="D212" s="112">
        <v>4.0049999999999999</v>
      </c>
    </row>
    <row r="213" spans="1:4">
      <c r="A213" s="114">
        <v>42094.526736111111</v>
      </c>
      <c r="B213" s="112">
        <v>4.0049999999999999</v>
      </c>
      <c r="C213" s="112">
        <v>6372.5839999999998</v>
      </c>
      <c r="D213" s="112">
        <v>4.0060000000000002</v>
      </c>
    </row>
    <row r="214" spans="1:4">
      <c r="A214" s="114">
        <v>42094.526909722219</v>
      </c>
      <c r="B214" s="112">
        <v>4.0049999999999999</v>
      </c>
      <c r="C214" s="112">
        <v>6372.6880000000001</v>
      </c>
      <c r="D214" s="112">
        <v>4.0060000000000002</v>
      </c>
    </row>
    <row r="215" spans="1:4">
      <c r="A215" s="114">
        <v>42094.527094907404</v>
      </c>
      <c r="B215" s="112">
        <v>4</v>
      </c>
      <c r="C215" s="112">
        <v>6372.6769999999997</v>
      </c>
      <c r="D215" s="112">
        <v>4.0060000000000002</v>
      </c>
    </row>
    <row r="216" spans="1:4">
      <c r="A216" s="114">
        <v>42094.527280092596</v>
      </c>
      <c r="B216" s="112">
        <v>3.9950000000000001</v>
      </c>
      <c r="C216" s="112">
        <v>6372.509</v>
      </c>
      <c r="D216" s="112">
        <v>4.0049999999999999</v>
      </c>
    </row>
    <row r="217" spans="1:4">
      <c r="A217" s="114">
        <v>42094.527453703704</v>
      </c>
      <c r="B217" s="112">
        <v>3.9940000000000002</v>
      </c>
      <c r="C217" s="112">
        <v>6372.3310000000001</v>
      </c>
      <c r="D217" s="112">
        <v>4.0039999999999996</v>
      </c>
    </row>
    <row r="218" spans="1:4">
      <c r="A218" s="114">
        <v>42094.527638888889</v>
      </c>
      <c r="B218" s="112">
        <v>4.0010000000000003</v>
      </c>
      <c r="C218" s="112">
        <v>6372.3869999999997</v>
      </c>
      <c r="D218" s="112">
        <v>4.0039999999999996</v>
      </c>
    </row>
    <row r="219" spans="1:4">
      <c r="A219" s="114">
        <v>42094.527824074074</v>
      </c>
      <c r="B219" s="112">
        <v>4.0030000000000001</v>
      </c>
      <c r="C219" s="112">
        <v>6372.46</v>
      </c>
      <c r="D219" s="112">
        <v>4.0049999999999999</v>
      </c>
    </row>
    <row r="220" spans="1:4">
      <c r="A220" s="114">
        <v>42094.527997685182</v>
      </c>
      <c r="B220" s="112">
        <v>4.0010000000000003</v>
      </c>
      <c r="C220" s="112">
        <v>6372.5330000000004</v>
      </c>
      <c r="D220" s="112">
        <v>4.0049999999999999</v>
      </c>
    </row>
    <row r="221" spans="1:4">
      <c r="A221" s="114">
        <v>42094.528182870374</v>
      </c>
      <c r="B221" s="112">
        <v>4.0010000000000003</v>
      </c>
      <c r="C221" s="112">
        <v>6372.5659999999998</v>
      </c>
      <c r="D221" s="112">
        <v>4.0049999999999999</v>
      </c>
    </row>
    <row r="222" spans="1:4">
      <c r="A222" s="114">
        <v>42094.528368055559</v>
      </c>
      <c r="B222" s="112">
        <v>3.9990000000000001</v>
      </c>
      <c r="C222" s="112">
        <v>6372.5240000000003</v>
      </c>
      <c r="D222" s="112">
        <v>4.0049999999999999</v>
      </c>
    </row>
    <row r="223" spans="1:4">
      <c r="A223" s="114">
        <v>42094.528541666667</v>
      </c>
      <c r="B223" s="112">
        <v>3.9980000000000002</v>
      </c>
      <c r="C223" s="112">
        <v>6372.4610000000002</v>
      </c>
      <c r="D223" s="112">
        <v>4.0049999999999999</v>
      </c>
    </row>
    <row r="224" spans="1:4">
      <c r="A224" s="114">
        <v>42094.528726851851</v>
      </c>
      <c r="B224" s="112">
        <v>3.9980000000000002</v>
      </c>
      <c r="C224" s="112">
        <v>6372.4390000000003</v>
      </c>
      <c r="D224" s="112">
        <v>4.0049999999999999</v>
      </c>
    </row>
    <row r="225" spans="1:4">
      <c r="A225" s="114">
        <v>42094.528912037036</v>
      </c>
      <c r="B225" s="112">
        <v>4</v>
      </c>
      <c r="C225" s="112">
        <v>6372.442</v>
      </c>
      <c r="D225" s="112">
        <v>4.0049999999999999</v>
      </c>
    </row>
    <row r="226" spans="1:4">
      <c r="A226" s="114">
        <v>42094.529085648152</v>
      </c>
      <c r="B226" s="112">
        <v>4.0019999999999998</v>
      </c>
      <c r="C226" s="112">
        <v>6372.4949999999999</v>
      </c>
      <c r="D226" s="112">
        <v>4.0049999999999999</v>
      </c>
    </row>
    <row r="227" spans="1:4">
      <c r="A227" s="114">
        <v>42094.529270833336</v>
      </c>
      <c r="B227" s="112">
        <v>4.0030000000000001</v>
      </c>
      <c r="C227" s="112">
        <v>6372.5349999999999</v>
      </c>
      <c r="D227" s="112">
        <v>4.0049999999999999</v>
      </c>
    </row>
    <row r="228" spans="1:4">
      <c r="A228" s="114">
        <v>42094.529456018521</v>
      </c>
      <c r="B228" s="112">
        <v>4.0010000000000003</v>
      </c>
      <c r="C228" s="112">
        <v>6372.6329999999998</v>
      </c>
      <c r="D228" s="112">
        <v>4.0060000000000002</v>
      </c>
    </row>
    <row r="229" spans="1:4">
      <c r="A229" s="114">
        <v>42094.529629629629</v>
      </c>
      <c r="B229" s="112">
        <v>3.9980000000000002</v>
      </c>
      <c r="C229" s="112">
        <v>6372.5209999999997</v>
      </c>
      <c r="D229" s="112">
        <v>4.0049999999999999</v>
      </c>
    </row>
    <row r="230" spans="1:4">
      <c r="A230" s="114">
        <v>42094.529814814814</v>
      </c>
      <c r="B230" s="112">
        <v>3.996</v>
      </c>
      <c r="C230" s="112">
        <v>6372.4480000000003</v>
      </c>
      <c r="D230" s="112">
        <v>4.0049999999999999</v>
      </c>
    </row>
    <row r="231" spans="1:4">
      <c r="A231" s="114">
        <v>42094.53</v>
      </c>
      <c r="B231" s="112">
        <v>3.9969999999999999</v>
      </c>
      <c r="C231" s="112">
        <v>6372.4359999999997</v>
      </c>
      <c r="D231" s="112">
        <v>4.0049999999999999</v>
      </c>
    </row>
    <row r="232" spans="1:4">
      <c r="A232" s="114">
        <v>42094.530185185184</v>
      </c>
      <c r="B232" s="112">
        <v>4</v>
      </c>
      <c r="C232" s="112">
        <v>6372.4250000000002</v>
      </c>
      <c r="D232" s="112">
        <v>4.0039999999999996</v>
      </c>
    </row>
    <row r="233" spans="1:4">
      <c r="A233" s="114">
        <v>42094.530358796299</v>
      </c>
      <c r="B233" s="112">
        <v>4.0030000000000001</v>
      </c>
      <c r="C233" s="112">
        <v>6372.5010000000002</v>
      </c>
      <c r="D233" s="112">
        <v>4.0049999999999999</v>
      </c>
    </row>
    <row r="234" spans="1:4">
      <c r="A234" s="114">
        <v>42094.530543981484</v>
      </c>
      <c r="B234" s="112">
        <v>4.0039999999999996</v>
      </c>
      <c r="C234" s="112">
        <v>6372.6130000000003</v>
      </c>
      <c r="D234" s="112">
        <v>4.0060000000000002</v>
      </c>
    </row>
    <row r="235" spans="1:4">
      <c r="A235" s="114">
        <v>42094.530717592592</v>
      </c>
      <c r="B235" s="112">
        <v>4.0030000000000001</v>
      </c>
      <c r="C235" s="112">
        <v>6372.652</v>
      </c>
      <c r="D235" s="112">
        <v>4.0060000000000002</v>
      </c>
    </row>
    <row r="236" spans="1:4">
      <c r="A236" s="114">
        <v>42094.530902777777</v>
      </c>
      <c r="B236" s="112">
        <v>3.9980000000000002</v>
      </c>
      <c r="C236" s="112">
        <v>6372.6049999999996</v>
      </c>
      <c r="D236" s="112">
        <v>4.0060000000000002</v>
      </c>
    </row>
    <row r="237" spans="1:4">
      <c r="A237" s="114">
        <v>42094.531087962961</v>
      </c>
      <c r="B237" s="112">
        <v>3.9940000000000002</v>
      </c>
      <c r="C237" s="112">
        <v>6372.5230000000001</v>
      </c>
      <c r="D237" s="112">
        <v>4.0049999999999999</v>
      </c>
    </row>
    <row r="238" spans="1:4">
      <c r="A238" s="114">
        <v>42094.531261574077</v>
      </c>
      <c r="B238" s="112">
        <v>3.9950000000000001</v>
      </c>
      <c r="C238" s="112">
        <v>6372.424</v>
      </c>
      <c r="D238" s="112">
        <v>4.0039999999999996</v>
      </c>
    </row>
    <row r="239" spans="1:4">
      <c r="A239" s="114">
        <v>42094.531446759262</v>
      </c>
      <c r="B239" s="112">
        <v>4.0010000000000003</v>
      </c>
      <c r="C239" s="112">
        <v>6372.3620000000001</v>
      </c>
      <c r="D239" s="112">
        <v>4.0039999999999996</v>
      </c>
    </row>
    <row r="240" spans="1:4">
      <c r="A240" s="114">
        <v>42094.531631944446</v>
      </c>
      <c r="B240" s="112">
        <v>4.0049999999999999</v>
      </c>
      <c r="C240" s="112">
        <v>6372.4849999999997</v>
      </c>
      <c r="D240" s="112">
        <v>4.0049999999999999</v>
      </c>
    </row>
    <row r="241" spans="1:4">
      <c r="A241" s="114">
        <v>42094.531805555554</v>
      </c>
      <c r="B241" s="112">
        <v>4.0060000000000002</v>
      </c>
      <c r="C241" s="112">
        <v>6372.616</v>
      </c>
      <c r="D241" s="112">
        <v>4.0060000000000002</v>
      </c>
    </row>
    <row r="242" spans="1:4">
      <c r="A242" s="114">
        <v>42094.531990740739</v>
      </c>
      <c r="B242" s="112">
        <v>4.0030000000000001</v>
      </c>
      <c r="C242" s="112">
        <v>6372.6409999999996</v>
      </c>
      <c r="D242" s="112">
        <v>4.0060000000000002</v>
      </c>
    </row>
    <row r="243" spans="1:4">
      <c r="A243" s="114">
        <v>42094.532175925924</v>
      </c>
      <c r="B243" s="112">
        <v>3.9969999999999999</v>
      </c>
      <c r="C243" s="112">
        <v>6372.61</v>
      </c>
      <c r="D243" s="112">
        <v>4.0060000000000002</v>
      </c>
    </row>
    <row r="244" spans="1:4">
      <c r="A244" s="114">
        <v>42094.532349537039</v>
      </c>
      <c r="B244" s="112">
        <v>3.9940000000000002</v>
      </c>
      <c r="C244" s="112">
        <v>6372.3980000000001</v>
      </c>
      <c r="D244" s="112">
        <v>4.0039999999999996</v>
      </c>
    </row>
    <row r="245" spans="1:4">
      <c r="A245" s="114">
        <v>42094.532534722224</v>
      </c>
      <c r="B245" s="112">
        <v>3.9969999999999999</v>
      </c>
      <c r="C245" s="112">
        <v>6372.3850000000002</v>
      </c>
      <c r="D245" s="112">
        <v>4.0039999999999996</v>
      </c>
    </row>
    <row r="246" spans="1:4">
      <c r="A246" s="114">
        <v>42094.532719907409</v>
      </c>
      <c r="B246" s="112">
        <v>4.0010000000000003</v>
      </c>
      <c r="C246" s="112">
        <v>6372.4189999999999</v>
      </c>
      <c r="D246" s="112">
        <v>4.0039999999999996</v>
      </c>
    </row>
    <row r="247" spans="1:4">
      <c r="A247" s="114">
        <v>42094.532893518517</v>
      </c>
      <c r="B247" s="112">
        <v>4.0039999999999996</v>
      </c>
      <c r="C247" s="112">
        <v>6372.5060000000003</v>
      </c>
      <c r="D247" s="112">
        <v>4.0049999999999999</v>
      </c>
    </row>
    <row r="248" spans="1:4">
      <c r="A248" s="114">
        <v>42094.533078703702</v>
      </c>
      <c r="B248" s="112">
        <v>4.0049999999999999</v>
      </c>
      <c r="C248" s="112">
        <v>6372.62</v>
      </c>
      <c r="D248" s="112">
        <v>4.0060000000000002</v>
      </c>
    </row>
    <row r="249" spans="1:4">
      <c r="A249" s="114">
        <v>42094.533263888887</v>
      </c>
      <c r="B249" s="112">
        <v>4.0019999999999998</v>
      </c>
      <c r="C249" s="112">
        <v>6372.64</v>
      </c>
      <c r="D249" s="112">
        <v>4.0060000000000002</v>
      </c>
    </row>
    <row r="250" spans="1:4">
      <c r="A250" s="114">
        <v>42094.533437500002</v>
      </c>
      <c r="B250" s="112">
        <v>3.9969999999999999</v>
      </c>
      <c r="C250" s="112">
        <v>6372.5280000000002</v>
      </c>
      <c r="D250" s="112">
        <v>4.0049999999999999</v>
      </c>
    </row>
    <row r="251" spans="1:4">
      <c r="A251" s="114">
        <v>42094.533622685187</v>
      </c>
      <c r="B251" s="112">
        <v>3.9940000000000002</v>
      </c>
      <c r="C251" s="112">
        <v>6372.433</v>
      </c>
      <c r="D251" s="112">
        <v>4.0049999999999999</v>
      </c>
    </row>
    <row r="252" spans="1:4">
      <c r="A252" s="114">
        <v>42094.560706018521</v>
      </c>
      <c r="B252" s="112">
        <v>5.0010000000000003</v>
      </c>
      <c r="C252" s="112">
        <v>6514.0209999999997</v>
      </c>
      <c r="D252" s="112">
        <v>5.0049999999999999</v>
      </c>
    </row>
    <row r="253" spans="1:4">
      <c r="A253" s="114">
        <v>42094.560891203706</v>
      </c>
      <c r="B253" s="112">
        <v>5</v>
      </c>
      <c r="C253" s="112">
        <v>6514.0209999999997</v>
      </c>
      <c r="D253" s="112">
        <v>5.0049999999999999</v>
      </c>
    </row>
    <row r="254" spans="1:4">
      <c r="A254" s="114">
        <v>42094.561064814814</v>
      </c>
      <c r="B254" s="112">
        <v>4.9989999999999997</v>
      </c>
      <c r="C254" s="112">
        <v>6514.0129999999999</v>
      </c>
      <c r="D254" s="112">
        <v>5.0049999999999999</v>
      </c>
    </row>
    <row r="255" spans="1:4">
      <c r="A255" s="114">
        <v>42094.561249999999</v>
      </c>
      <c r="B255" s="112">
        <v>4.9980000000000002</v>
      </c>
      <c r="C255" s="112">
        <v>6513.9889999999996</v>
      </c>
      <c r="D255" s="112">
        <v>5.0049999999999999</v>
      </c>
    </row>
    <row r="256" spans="1:4">
      <c r="A256" s="114">
        <v>42094.561435185184</v>
      </c>
      <c r="B256" s="112">
        <v>4.9989999999999997</v>
      </c>
      <c r="C256" s="112">
        <v>6513.9269999999997</v>
      </c>
      <c r="D256" s="112">
        <v>5.0049999999999999</v>
      </c>
    </row>
    <row r="257" spans="1:4">
      <c r="A257" s="114">
        <v>42094.561608796299</v>
      </c>
      <c r="B257" s="112">
        <v>5.0010000000000003</v>
      </c>
      <c r="C257" s="112">
        <v>6513.9769999999999</v>
      </c>
      <c r="D257" s="112">
        <v>5.0049999999999999</v>
      </c>
    </row>
    <row r="258" spans="1:4">
      <c r="A258" s="114">
        <v>42094.561793981484</v>
      </c>
      <c r="B258" s="112">
        <v>5.0030000000000001</v>
      </c>
      <c r="C258" s="112">
        <v>6514.0420000000004</v>
      </c>
      <c r="D258" s="112">
        <v>5.0049999999999999</v>
      </c>
    </row>
    <row r="259" spans="1:4">
      <c r="A259" s="114">
        <v>42094.561979166669</v>
      </c>
      <c r="B259" s="112">
        <v>5.0019999999999998</v>
      </c>
      <c r="C259" s="112">
        <v>6514.0680000000002</v>
      </c>
      <c r="D259" s="112">
        <v>5.0060000000000002</v>
      </c>
    </row>
    <row r="260" spans="1:4">
      <c r="A260" s="114">
        <v>42094.562152777777</v>
      </c>
      <c r="B260" s="112">
        <v>4.9989999999999997</v>
      </c>
      <c r="C260" s="112">
        <v>6514.0379999999996</v>
      </c>
      <c r="D260" s="112">
        <v>5.0049999999999999</v>
      </c>
    </row>
    <row r="261" spans="1:4">
      <c r="A261" s="114">
        <v>42094.562337962961</v>
      </c>
      <c r="B261" s="112">
        <v>4.9980000000000002</v>
      </c>
      <c r="C261" s="112">
        <v>6513.9740000000002</v>
      </c>
      <c r="D261" s="112">
        <v>5.0049999999999999</v>
      </c>
    </row>
    <row r="262" spans="1:4">
      <c r="A262" s="114">
        <v>42094.562523148146</v>
      </c>
      <c r="B262" s="112">
        <v>4.9960000000000004</v>
      </c>
      <c r="C262" s="112">
        <v>6513.875</v>
      </c>
      <c r="D262" s="112">
        <v>5.0039999999999996</v>
      </c>
    </row>
    <row r="263" spans="1:4">
      <c r="A263" s="114">
        <v>42094.562696759262</v>
      </c>
      <c r="B263" s="112">
        <v>4.9980000000000002</v>
      </c>
      <c r="C263" s="112">
        <v>6513.8370000000004</v>
      </c>
      <c r="D263" s="112">
        <v>5.0039999999999996</v>
      </c>
    </row>
    <row r="264" spans="1:4">
      <c r="A264" s="114">
        <v>42094.562881944446</v>
      </c>
      <c r="B264" s="112">
        <v>5.0010000000000003</v>
      </c>
      <c r="C264" s="112">
        <v>6513.8779999999997</v>
      </c>
      <c r="D264" s="112">
        <v>5.0039999999999996</v>
      </c>
    </row>
    <row r="265" spans="1:4">
      <c r="A265" s="114">
        <v>42094.563067129631</v>
      </c>
      <c r="B265" s="112">
        <v>5.0030000000000001</v>
      </c>
      <c r="C265" s="112">
        <v>6513.9679999999998</v>
      </c>
      <c r="D265" s="112">
        <v>5.0049999999999999</v>
      </c>
    </row>
    <row r="266" spans="1:4">
      <c r="A266" s="114">
        <v>42094.563240740739</v>
      </c>
      <c r="B266" s="112">
        <v>5.0030000000000001</v>
      </c>
      <c r="C266" s="112">
        <v>6514.0439999999999</v>
      </c>
      <c r="D266" s="112">
        <v>5.0049999999999999</v>
      </c>
    </row>
    <row r="267" spans="1:4">
      <c r="A267" s="114">
        <v>42094.563425925924</v>
      </c>
      <c r="B267" s="112">
        <v>5.0010000000000003</v>
      </c>
      <c r="C267" s="112">
        <v>6514.0529999999999</v>
      </c>
      <c r="D267" s="112">
        <v>5.0060000000000002</v>
      </c>
    </row>
    <row r="268" spans="1:4">
      <c r="A268" s="114">
        <v>42094.563611111109</v>
      </c>
      <c r="B268" s="112">
        <v>4.9969999999999999</v>
      </c>
      <c r="C268" s="112">
        <v>6513.9740000000002</v>
      </c>
      <c r="D268" s="112">
        <v>5.0049999999999999</v>
      </c>
    </row>
    <row r="269" spans="1:4">
      <c r="A269" s="114">
        <v>42094.563796296294</v>
      </c>
      <c r="B269" s="112">
        <v>4.9950000000000001</v>
      </c>
      <c r="C269" s="112">
        <v>6513.8689999999997</v>
      </c>
      <c r="D269" s="112">
        <v>5.0039999999999996</v>
      </c>
    </row>
    <row r="270" spans="1:4">
      <c r="A270" s="114">
        <v>42094.563969907409</v>
      </c>
      <c r="B270" s="112">
        <v>4.9969999999999999</v>
      </c>
      <c r="C270" s="112">
        <v>6513.8059999999996</v>
      </c>
      <c r="D270" s="112">
        <v>5.0039999999999996</v>
      </c>
    </row>
    <row r="271" spans="1:4">
      <c r="A271" s="114">
        <v>42094.564155092594</v>
      </c>
      <c r="B271" s="112">
        <v>5</v>
      </c>
      <c r="C271" s="112">
        <v>6513.8280000000004</v>
      </c>
      <c r="D271" s="112">
        <v>5.0039999999999996</v>
      </c>
    </row>
    <row r="272" spans="1:4">
      <c r="A272" s="114">
        <v>42094.564328703702</v>
      </c>
      <c r="B272" s="112">
        <v>5.0039999999999996</v>
      </c>
      <c r="C272" s="112">
        <v>6513.9210000000003</v>
      </c>
      <c r="D272" s="112">
        <v>5.0049999999999999</v>
      </c>
    </row>
    <row r="273" spans="1:4">
      <c r="A273" s="114">
        <v>42094.564513888887</v>
      </c>
      <c r="B273" s="112">
        <v>5.0049999999999999</v>
      </c>
      <c r="C273" s="112">
        <v>6514.0320000000002</v>
      </c>
      <c r="D273" s="112">
        <v>5.0049999999999999</v>
      </c>
    </row>
    <row r="274" spans="1:4">
      <c r="A274" s="114">
        <v>42094.564699074072</v>
      </c>
      <c r="B274" s="112">
        <v>5.0010000000000003</v>
      </c>
      <c r="C274" s="112">
        <v>6514.0810000000001</v>
      </c>
      <c r="D274" s="112">
        <v>5.0060000000000002</v>
      </c>
    </row>
    <row r="275" spans="1:4">
      <c r="A275" s="114">
        <v>42094.564884259256</v>
      </c>
      <c r="B275" s="112">
        <v>4.9980000000000002</v>
      </c>
      <c r="C275" s="112">
        <v>6514.0320000000002</v>
      </c>
      <c r="D275" s="112">
        <v>5.0049999999999999</v>
      </c>
    </row>
    <row r="276" spans="1:4">
      <c r="A276" s="114">
        <v>42094.565057870372</v>
      </c>
      <c r="B276" s="112">
        <v>4.9950000000000001</v>
      </c>
      <c r="C276" s="112">
        <v>6513.9470000000001</v>
      </c>
      <c r="D276" s="112">
        <v>5.0049999999999999</v>
      </c>
    </row>
    <row r="277" spans="1:4">
      <c r="A277" s="114">
        <v>42094.565243055556</v>
      </c>
      <c r="B277" s="112">
        <v>4.9969999999999999</v>
      </c>
      <c r="C277" s="112">
        <v>6513.8310000000001</v>
      </c>
      <c r="D277" s="112">
        <v>5.0039999999999996</v>
      </c>
    </row>
    <row r="278" spans="1:4">
      <c r="A278" s="114">
        <v>42094.565428240741</v>
      </c>
      <c r="B278" s="112">
        <v>5.0019999999999998</v>
      </c>
      <c r="C278" s="112">
        <v>6513.88</v>
      </c>
      <c r="D278" s="112">
        <v>5.0039999999999996</v>
      </c>
    </row>
    <row r="279" spans="1:4">
      <c r="A279" s="114">
        <v>42094.565601851849</v>
      </c>
      <c r="B279" s="112">
        <v>5.0039999999999996</v>
      </c>
      <c r="C279" s="112">
        <v>6513.9930000000004</v>
      </c>
      <c r="D279" s="112">
        <v>5.0049999999999999</v>
      </c>
    </row>
    <row r="280" spans="1:4">
      <c r="A280" s="114">
        <v>42094.565787037034</v>
      </c>
      <c r="B280" s="112">
        <v>5.0039999999999996</v>
      </c>
      <c r="C280" s="112">
        <v>6514.0789999999997</v>
      </c>
      <c r="D280" s="112">
        <v>5.0060000000000002</v>
      </c>
    </row>
    <row r="281" spans="1:4">
      <c r="A281" s="114">
        <v>42094.565972222219</v>
      </c>
      <c r="B281" s="112">
        <v>5</v>
      </c>
      <c r="C281" s="112">
        <v>6514.11</v>
      </c>
      <c r="D281" s="112">
        <v>5.0060000000000002</v>
      </c>
    </row>
    <row r="282" spans="1:4">
      <c r="A282" s="114">
        <v>42094.566145833334</v>
      </c>
      <c r="B282" s="112">
        <v>4.9969999999999999</v>
      </c>
      <c r="C282" s="112">
        <v>6514.05</v>
      </c>
      <c r="D282" s="112">
        <v>5.0049999999999999</v>
      </c>
    </row>
    <row r="283" spans="1:4">
      <c r="A283" s="114">
        <v>42094.566331018519</v>
      </c>
      <c r="B283" s="112">
        <v>4.9960000000000004</v>
      </c>
      <c r="C283" s="112">
        <v>6513.9340000000002</v>
      </c>
      <c r="D283" s="112">
        <v>5.0049999999999999</v>
      </c>
    </row>
    <row r="284" spans="1:4">
      <c r="A284" s="114">
        <v>42094.566516203704</v>
      </c>
      <c r="B284" s="112">
        <v>4.9980000000000002</v>
      </c>
      <c r="C284" s="112">
        <v>6513.8649999999998</v>
      </c>
      <c r="D284" s="112">
        <v>5.0039999999999996</v>
      </c>
    </row>
    <row r="285" spans="1:4">
      <c r="A285" s="114">
        <v>42094.566689814812</v>
      </c>
      <c r="B285" s="112">
        <v>5.0019999999999998</v>
      </c>
      <c r="C285" s="112">
        <v>6513.9160000000002</v>
      </c>
      <c r="D285" s="112">
        <v>5.0049999999999999</v>
      </c>
    </row>
    <row r="286" spans="1:4">
      <c r="A286" s="114">
        <v>42094.566874999997</v>
      </c>
      <c r="B286" s="112">
        <v>5.0039999999999996</v>
      </c>
      <c r="C286" s="112">
        <v>6514.0020000000004</v>
      </c>
      <c r="D286" s="112">
        <v>5.0049999999999999</v>
      </c>
    </row>
    <row r="287" spans="1:4">
      <c r="A287" s="114">
        <v>42094.567060185182</v>
      </c>
      <c r="B287" s="112">
        <v>5.0039999999999996</v>
      </c>
      <c r="C287" s="112">
        <v>6514.085</v>
      </c>
      <c r="D287" s="112">
        <v>5.0060000000000002</v>
      </c>
    </row>
    <row r="288" spans="1:4">
      <c r="A288" s="114">
        <v>42094.567233796297</v>
      </c>
      <c r="B288" s="112">
        <v>5</v>
      </c>
      <c r="C288" s="112">
        <v>6514.0879999999997</v>
      </c>
      <c r="D288" s="112">
        <v>5.0060000000000002</v>
      </c>
    </row>
    <row r="289" spans="1:4">
      <c r="A289" s="114">
        <v>42094.567418981482</v>
      </c>
      <c r="B289" s="112">
        <v>4.9960000000000004</v>
      </c>
      <c r="C289" s="112">
        <v>6514.0150000000003</v>
      </c>
      <c r="D289" s="112">
        <v>5.0049999999999999</v>
      </c>
    </row>
    <row r="290" spans="1:4">
      <c r="A290" s="114">
        <v>42094.567604166667</v>
      </c>
      <c r="B290" s="112">
        <v>4.9939999999999998</v>
      </c>
      <c r="C290" s="112">
        <v>6513.8410000000003</v>
      </c>
      <c r="D290" s="112">
        <v>5.0039999999999996</v>
      </c>
    </row>
    <row r="291" spans="1:4">
      <c r="A291" s="114">
        <v>42094.567777777775</v>
      </c>
      <c r="B291" s="112">
        <v>5.0010000000000003</v>
      </c>
      <c r="C291" s="112">
        <v>6513.8879999999999</v>
      </c>
      <c r="D291" s="112">
        <v>5.0039999999999996</v>
      </c>
    </row>
    <row r="292" spans="1:4">
      <c r="A292" s="114">
        <v>42094.567962962959</v>
      </c>
      <c r="B292" s="112">
        <v>5.0039999999999996</v>
      </c>
      <c r="C292" s="112">
        <v>6513.9740000000002</v>
      </c>
      <c r="D292" s="112">
        <v>5.0049999999999999</v>
      </c>
    </row>
    <row r="293" spans="1:4">
      <c r="A293" s="114">
        <v>42094.568148148152</v>
      </c>
      <c r="B293" s="112">
        <v>5.0039999999999996</v>
      </c>
      <c r="C293" s="112">
        <v>6514.0829999999996</v>
      </c>
      <c r="D293" s="112">
        <v>5.0060000000000002</v>
      </c>
    </row>
    <row r="294" spans="1:4">
      <c r="A294" s="114">
        <v>42094.568333333336</v>
      </c>
      <c r="B294" s="112">
        <v>5</v>
      </c>
      <c r="C294" s="112">
        <v>6514.0640000000003</v>
      </c>
      <c r="D294" s="112">
        <v>5.0060000000000002</v>
      </c>
    </row>
    <row r="295" spans="1:4">
      <c r="A295" s="114">
        <v>42094.568506944444</v>
      </c>
      <c r="B295" s="112">
        <v>4.9950000000000001</v>
      </c>
      <c r="C295" s="112">
        <v>6514.0259999999998</v>
      </c>
      <c r="D295" s="112">
        <v>5.0049999999999999</v>
      </c>
    </row>
    <row r="296" spans="1:4">
      <c r="A296" s="114">
        <v>42094.568692129629</v>
      </c>
      <c r="B296" s="112">
        <v>4.9950000000000001</v>
      </c>
      <c r="C296" s="112">
        <v>6513.8050000000003</v>
      </c>
      <c r="D296" s="112">
        <v>5.0039999999999996</v>
      </c>
    </row>
    <row r="297" spans="1:4">
      <c r="A297" s="114">
        <v>42094.568865740737</v>
      </c>
      <c r="B297" s="112">
        <v>4.9980000000000002</v>
      </c>
      <c r="C297" s="112">
        <v>6513.7920000000004</v>
      </c>
      <c r="D297" s="112">
        <v>5.0039999999999996</v>
      </c>
    </row>
    <row r="298" spans="1:4">
      <c r="A298" s="114">
        <v>42094.569050925929</v>
      </c>
      <c r="B298" s="112">
        <v>5.0030000000000001</v>
      </c>
      <c r="C298" s="112">
        <v>6513.8739999999998</v>
      </c>
      <c r="D298" s="112">
        <v>5.0039999999999996</v>
      </c>
    </row>
    <row r="299" spans="1:4">
      <c r="A299" s="114">
        <v>42094.569236111114</v>
      </c>
      <c r="B299" s="112">
        <v>5.0049999999999999</v>
      </c>
      <c r="C299" s="112">
        <v>6514.0029999999997</v>
      </c>
      <c r="D299" s="112">
        <v>5.0049999999999999</v>
      </c>
    </row>
    <row r="300" spans="1:4">
      <c r="A300" s="114">
        <v>42094.569409722222</v>
      </c>
      <c r="B300" s="112">
        <v>5.0030000000000001</v>
      </c>
      <c r="C300" s="112">
        <v>6514.1019999999999</v>
      </c>
      <c r="D300" s="112">
        <v>5.0060000000000002</v>
      </c>
    </row>
    <row r="301" spans="1:4">
      <c r="A301" s="114">
        <v>42094.569594907407</v>
      </c>
      <c r="B301" s="112">
        <v>4.9989999999999997</v>
      </c>
      <c r="C301" s="112">
        <v>6514.0810000000001</v>
      </c>
      <c r="D301" s="112">
        <v>5.0060000000000002</v>
      </c>
    </row>
    <row r="302" spans="1:4">
      <c r="A302" s="114">
        <v>42094.569780092592</v>
      </c>
      <c r="B302" s="112">
        <v>4.9960000000000004</v>
      </c>
      <c r="C302" s="112">
        <v>6514.0339999999997</v>
      </c>
      <c r="D302" s="112">
        <v>5.0049999999999999</v>
      </c>
    </row>
    <row r="303" spans="1:4">
      <c r="A303" s="114">
        <v>42094.569953703707</v>
      </c>
      <c r="B303" s="112">
        <v>4.9969999999999999</v>
      </c>
      <c r="C303" s="112">
        <v>6513.8890000000001</v>
      </c>
      <c r="D303" s="112">
        <v>5.0039999999999996</v>
      </c>
    </row>
    <row r="304" spans="1:4">
      <c r="A304" s="114">
        <v>42094.570138888892</v>
      </c>
      <c r="B304" s="112">
        <v>4.9980000000000002</v>
      </c>
      <c r="C304" s="112">
        <v>6513.857</v>
      </c>
      <c r="D304" s="112">
        <v>5.0039999999999996</v>
      </c>
    </row>
    <row r="305" spans="1:4">
      <c r="A305" s="114">
        <v>42094.570324074077</v>
      </c>
      <c r="B305" s="112">
        <v>5</v>
      </c>
      <c r="C305" s="112">
        <v>6513.9189999999999</v>
      </c>
      <c r="D305" s="112">
        <v>5.0049999999999999</v>
      </c>
    </row>
    <row r="306" spans="1:4">
      <c r="A306" s="114">
        <v>42094.570497685185</v>
      </c>
      <c r="B306" s="112">
        <v>5.0049999999999999</v>
      </c>
      <c r="C306" s="112">
        <v>6513.9979999999996</v>
      </c>
      <c r="D306" s="112">
        <v>5.0049999999999999</v>
      </c>
    </row>
    <row r="307" spans="1:4">
      <c r="A307" s="114">
        <v>42094.57068287037</v>
      </c>
      <c r="B307" s="112">
        <v>5.0049999999999999</v>
      </c>
      <c r="C307" s="112">
        <v>6514.0950000000003</v>
      </c>
      <c r="D307" s="112">
        <v>5.0060000000000002</v>
      </c>
    </row>
    <row r="308" spans="1:4">
      <c r="A308" s="114">
        <v>42094.570868055554</v>
      </c>
      <c r="B308" s="112">
        <v>5</v>
      </c>
      <c r="C308" s="112">
        <v>6514.0919999999996</v>
      </c>
      <c r="D308" s="112">
        <v>5.0060000000000002</v>
      </c>
    </row>
    <row r="309" spans="1:4">
      <c r="A309" s="114">
        <v>42094.571053240739</v>
      </c>
      <c r="B309" s="112">
        <v>4.9960000000000004</v>
      </c>
      <c r="C309" s="112">
        <v>6513.9859999999999</v>
      </c>
      <c r="D309" s="112">
        <v>5.0049999999999999</v>
      </c>
    </row>
    <row r="310" spans="1:4">
      <c r="A310" s="114">
        <v>42094.571226851855</v>
      </c>
      <c r="B310" s="112">
        <v>4.9939999999999998</v>
      </c>
      <c r="C310" s="112">
        <v>6513.7839999999997</v>
      </c>
      <c r="D310" s="112">
        <v>5.0039999999999996</v>
      </c>
    </row>
    <row r="311" spans="1:4">
      <c r="A311" s="114">
        <v>42094.571412037039</v>
      </c>
      <c r="B311" s="112">
        <v>4.9969999999999999</v>
      </c>
      <c r="C311" s="112">
        <v>6513.7240000000002</v>
      </c>
      <c r="D311" s="112">
        <v>5.0030000000000001</v>
      </c>
    </row>
    <row r="312" spans="1:4">
      <c r="A312" s="114">
        <v>42094.598668981482</v>
      </c>
      <c r="B312" s="112">
        <v>6.0030000000000001</v>
      </c>
      <c r="C312" s="112">
        <v>6657.9380000000001</v>
      </c>
      <c r="D312" s="112">
        <v>6.0069999999999997</v>
      </c>
    </row>
    <row r="313" spans="1:4">
      <c r="A313" s="114">
        <v>42094.598854166667</v>
      </c>
      <c r="B313" s="112">
        <v>5.9980000000000002</v>
      </c>
      <c r="C313" s="112">
        <v>6657.8879999999999</v>
      </c>
      <c r="D313" s="112">
        <v>6.0060000000000002</v>
      </c>
    </row>
    <row r="314" spans="1:4">
      <c r="A314" s="114">
        <v>42094.599039351851</v>
      </c>
      <c r="B314" s="112">
        <v>5.9960000000000004</v>
      </c>
      <c r="C314" s="112">
        <v>6657.7740000000003</v>
      </c>
      <c r="D314" s="112">
        <v>6.0049999999999999</v>
      </c>
    </row>
    <row r="315" spans="1:4">
      <c r="A315" s="114">
        <v>42094.599212962959</v>
      </c>
      <c r="B315" s="112">
        <v>5.9960000000000004</v>
      </c>
      <c r="C315" s="112">
        <v>6657.6859999999997</v>
      </c>
      <c r="D315" s="112">
        <v>6.0049999999999999</v>
      </c>
    </row>
    <row r="316" spans="1:4">
      <c r="A316" s="114">
        <v>42094.599398148152</v>
      </c>
      <c r="B316" s="112">
        <v>5.9989999999999997</v>
      </c>
      <c r="C316" s="112">
        <v>6657.6559999999999</v>
      </c>
      <c r="D316" s="112">
        <v>6.0049999999999999</v>
      </c>
    </row>
    <row r="317" spans="1:4">
      <c r="A317" s="114">
        <v>42094.599583333336</v>
      </c>
      <c r="B317" s="112">
        <v>6.0039999999999996</v>
      </c>
      <c r="C317" s="112">
        <v>6657.7219999999998</v>
      </c>
      <c r="D317" s="112">
        <v>6.0049999999999999</v>
      </c>
    </row>
    <row r="318" spans="1:4">
      <c r="A318" s="114">
        <v>42094.599756944444</v>
      </c>
      <c r="B318" s="112">
        <v>6.0049999999999999</v>
      </c>
      <c r="C318" s="112">
        <v>6657.86</v>
      </c>
      <c r="D318" s="112">
        <v>6.0060000000000002</v>
      </c>
    </row>
    <row r="319" spans="1:4">
      <c r="A319" s="114">
        <v>42094.599942129629</v>
      </c>
      <c r="B319" s="112">
        <v>6.0019999999999998</v>
      </c>
      <c r="C319" s="112">
        <v>6657.9189999999999</v>
      </c>
      <c r="D319" s="112">
        <v>6.0060000000000002</v>
      </c>
    </row>
    <row r="320" spans="1:4">
      <c r="A320" s="114">
        <v>42094.600127314814</v>
      </c>
      <c r="B320" s="112">
        <v>5.9980000000000002</v>
      </c>
      <c r="C320" s="112">
        <v>6657.8490000000002</v>
      </c>
      <c r="D320" s="112">
        <v>6.0060000000000002</v>
      </c>
    </row>
    <row r="321" spans="1:4">
      <c r="A321" s="114">
        <v>42094.600300925929</v>
      </c>
      <c r="B321" s="112">
        <v>5.9939999999999998</v>
      </c>
      <c r="C321" s="112">
        <v>6657.69</v>
      </c>
      <c r="D321" s="112">
        <v>6.0049999999999999</v>
      </c>
    </row>
    <row r="322" spans="1:4">
      <c r="A322" s="114">
        <v>42094.600486111114</v>
      </c>
      <c r="B322" s="112">
        <v>5.9969999999999999</v>
      </c>
      <c r="C322" s="112">
        <v>6657.6409999999996</v>
      </c>
      <c r="D322" s="112">
        <v>6.0049999999999999</v>
      </c>
    </row>
    <row r="323" spans="1:4">
      <c r="A323" s="114">
        <v>42094.600671296299</v>
      </c>
      <c r="B323" s="112">
        <v>6.0010000000000003</v>
      </c>
      <c r="C323" s="112">
        <v>6657.625</v>
      </c>
      <c r="D323" s="112">
        <v>6.0039999999999996</v>
      </c>
    </row>
    <row r="324" spans="1:4">
      <c r="A324" s="114">
        <v>42094.600844907407</v>
      </c>
      <c r="B324" s="112">
        <v>6.0039999999999996</v>
      </c>
      <c r="C324" s="112">
        <v>6657.7439999999997</v>
      </c>
      <c r="D324" s="112">
        <v>6.0049999999999999</v>
      </c>
    </row>
    <row r="325" spans="1:4">
      <c r="A325" s="114">
        <v>42094.601030092592</v>
      </c>
      <c r="B325" s="112">
        <v>6.0039999999999996</v>
      </c>
      <c r="C325" s="112">
        <v>6657.8339999999998</v>
      </c>
      <c r="D325" s="112">
        <v>6.0060000000000002</v>
      </c>
    </row>
    <row r="326" spans="1:4">
      <c r="A326" s="114">
        <v>42094.601215277777</v>
      </c>
      <c r="B326" s="112">
        <v>6.0010000000000003</v>
      </c>
      <c r="C326" s="112">
        <v>6657.8680000000004</v>
      </c>
      <c r="D326" s="112">
        <v>6.0060000000000002</v>
      </c>
    </row>
    <row r="327" spans="1:4">
      <c r="A327" s="114">
        <v>42094.601388888892</v>
      </c>
      <c r="B327" s="112">
        <v>5.9969999999999999</v>
      </c>
      <c r="C327" s="112">
        <v>6657.7629999999999</v>
      </c>
      <c r="D327" s="112">
        <v>6.0049999999999999</v>
      </c>
    </row>
    <row r="328" spans="1:4">
      <c r="A328" s="114">
        <v>42094.601574074077</v>
      </c>
      <c r="B328" s="112">
        <v>5.9960000000000004</v>
      </c>
      <c r="C328" s="112">
        <v>6657.6509999999998</v>
      </c>
      <c r="D328" s="112">
        <v>6.0049999999999999</v>
      </c>
    </row>
    <row r="329" spans="1:4">
      <c r="A329" s="114">
        <v>42094.601759259262</v>
      </c>
      <c r="B329" s="112">
        <v>5.9969999999999999</v>
      </c>
      <c r="C329" s="112">
        <v>6657.6390000000001</v>
      </c>
      <c r="D329" s="112">
        <v>6.0049999999999999</v>
      </c>
    </row>
    <row r="330" spans="1:4">
      <c r="A330" s="114">
        <v>42094.60193287037</v>
      </c>
      <c r="B330" s="112">
        <v>6.0010000000000003</v>
      </c>
      <c r="C330" s="112">
        <v>6657.6589999999997</v>
      </c>
      <c r="D330" s="112">
        <v>6.0049999999999999</v>
      </c>
    </row>
    <row r="331" spans="1:4">
      <c r="A331" s="114">
        <v>42094.602118055554</v>
      </c>
      <c r="B331" s="112">
        <v>6.0039999999999996</v>
      </c>
      <c r="C331" s="112">
        <v>6657.7650000000003</v>
      </c>
      <c r="D331" s="112">
        <v>6.0049999999999999</v>
      </c>
    </row>
    <row r="332" spans="1:4">
      <c r="A332" s="114">
        <v>42094.602303240739</v>
      </c>
      <c r="B332" s="112">
        <v>6.0039999999999996</v>
      </c>
      <c r="C332" s="112">
        <v>6657.87</v>
      </c>
      <c r="D332" s="112">
        <v>6.0060000000000002</v>
      </c>
    </row>
    <row r="333" spans="1:4">
      <c r="A333" s="114">
        <v>42094.602476851855</v>
      </c>
      <c r="B333" s="112">
        <v>6.0010000000000003</v>
      </c>
      <c r="C333" s="112">
        <v>6657.9350000000004</v>
      </c>
      <c r="D333" s="112">
        <v>6.0069999999999997</v>
      </c>
    </row>
    <row r="334" spans="1:4">
      <c r="A334" s="114">
        <v>42094.602662037039</v>
      </c>
      <c r="B334" s="112">
        <v>5.9969999999999999</v>
      </c>
      <c r="C334" s="112">
        <v>6657.8</v>
      </c>
      <c r="D334" s="112">
        <v>6.0060000000000002</v>
      </c>
    </row>
    <row r="335" spans="1:4">
      <c r="A335" s="114">
        <v>42094.602847222224</v>
      </c>
      <c r="B335" s="112">
        <v>5.9950000000000001</v>
      </c>
      <c r="C335" s="112">
        <v>6657.6940000000004</v>
      </c>
      <c r="D335" s="112">
        <v>6.0049999999999999</v>
      </c>
    </row>
    <row r="336" spans="1:4">
      <c r="A336" s="114">
        <v>42094.603020833332</v>
      </c>
      <c r="B336" s="112">
        <v>5.9969999999999999</v>
      </c>
      <c r="C336" s="112">
        <v>6657.625</v>
      </c>
      <c r="D336" s="112">
        <v>6.0039999999999996</v>
      </c>
    </row>
    <row r="337" spans="1:4">
      <c r="A337" s="114">
        <v>42094.603206018517</v>
      </c>
      <c r="B337" s="112">
        <v>6.0010000000000003</v>
      </c>
      <c r="C337" s="112">
        <v>6657.6390000000001</v>
      </c>
      <c r="D337" s="112">
        <v>6.0049999999999999</v>
      </c>
    </row>
    <row r="338" spans="1:4">
      <c r="A338" s="114">
        <v>42094.603391203702</v>
      </c>
      <c r="B338" s="112">
        <v>6.0049999999999999</v>
      </c>
      <c r="C338" s="112">
        <v>6657.7709999999997</v>
      </c>
      <c r="D338" s="112">
        <v>6.0049999999999999</v>
      </c>
    </row>
    <row r="339" spans="1:4">
      <c r="A339" s="114">
        <v>42094.603564814817</v>
      </c>
      <c r="B339" s="112">
        <v>6.0039999999999996</v>
      </c>
      <c r="C339" s="112">
        <v>6657.8819999999996</v>
      </c>
      <c r="D339" s="112">
        <v>6.0060000000000002</v>
      </c>
    </row>
    <row r="340" spans="1:4">
      <c r="A340" s="114">
        <v>42094.603750000002</v>
      </c>
      <c r="B340" s="112">
        <v>6</v>
      </c>
      <c r="C340" s="112">
        <v>6657.88</v>
      </c>
      <c r="D340" s="112">
        <v>6.0060000000000002</v>
      </c>
    </row>
    <row r="341" spans="1:4">
      <c r="A341" s="114">
        <v>42094.603935185187</v>
      </c>
      <c r="B341" s="112">
        <v>5.9960000000000004</v>
      </c>
      <c r="C341" s="112">
        <v>6657.8029999999999</v>
      </c>
      <c r="D341" s="112">
        <v>6.0060000000000002</v>
      </c>
    </row>
    <row r="342" spans="1:4">
      <c r="A342" s="114">
        <v>42094.604108796295</v>
      </c>
      <c r="B342" s="112">
        <v>5.9960000000000004</v>
      </c>
      <c r="C342" s="112">
        <v>6657.7160000000003</v>
      </c>
      <c r="D342" s="112">
        <v>6.0049999999999999</v>
      </c>
    </row>
    <row r="343" spans="1:4">
      <c r="A343" s="114">
        <v>42094.60429398148</v>
      </c>
      <c r="B343" s="112">
        <v>5.9980000000000002</v>
      </c>
      <c r="C343" s="112">
        <v>6657.6180000000004</v>
      </c>
      <c r="D343" s="112">
        <v>6.0039999999999996</v>
      </c>
    </row>
    <row r="344" spans="1:4">
      <c r="A344" s="114">
        <v>42094.604479166665</v>
      </c>
      <c r="B344" s="112">
        <v>6.0019999999999998</v>
      </c>
      <c r="C344" s="112">
        <v>6657.6779999999999</v>
      </c>
      <c r="D344" s="112">
        <v>6.0049999999999999</v>
      </c>
    </row>
    <row r="345" spans="1:4">
      <c r="A345" s="114">
        <v>42094.60465277778</v>
      </c>
      <c r="B345" s="112">
        <v>6.0049999999999999</v>
      </c>
      <c r="C345" s="112">
        <v>6657.7709999999997</v>
      </c>
      <c r="D345" s="112">
        <v>6.0049999999999999</v>
      </c>
    </row>
    <row r="346" spans="1:4">
      <c r="A346" s="114">
        <v>42094.604837962965</v>
      </c>
      <c r="B346" s="112">
        <v>6.0030000000000001</v>
      </c>
      <c r="C346" s="112">
        <v>6657.8410000000003</v>
      </c>
      <c r="D346" s="112">
        <v>6.0060000000000002</v>
      </c>
    </row>
    <row r="347" spans="1:4">
      <c r="A347" s="114">
        <v>42094.605023148149</v>
      </c>
      <c r="B347" s="112">
        <v>5.9989999999999997</v>
      </c>
      <c r="C347" s="112">
        <v>6657.8249999999998</v>
      </c>
      <c r="D347" s="112">
        <v>6.0060000000000002</v>
      </c>
    </row>
    <row r="348" spans="1:4">
      <c r="A348" s="114">
        <v>42094.605196759258</v>
      </c>
      <c r="B348" s="112">
        <v>5.9950000000000001</v>
      </c>
      <c r="C348" s="112">
        <v>6657.7089999999998</v>
      </c>
      <c r="D348" s="112">
        <v>6.0049999999999999</v>
      </c>
    </row>
    <row r="349" spans="1:4">
      <c r="A349" s="114">
        <v>42094.605381944442</v>
      </c>
      <c r="B349" s="112">
        <v>5.9939999999999998</v>
      </c>
      <c r="C349" s="112">
        <v>6657.6189999999997</v>
      </c>
      <c r="D349" s="112">
        <v>6.0039999999999996</v>
      </c>
    </row>
    <row r="350" spans="1:4">
      <c r="A350" s="114">
        <v>42094.605567129627</v>
      </c>
      <c r="B350" s="112">
        <v>5.9989999999999997</v>
      </c>
      <c r="C350" s="112">
        <v>6657.59</v>
      </c>
      <c r="D350" s="112">
        <v>6.0039999999999996</v>
      </c>
    </row>
    <row r="351" spans="1:4">
      <c r="A351" s="114">
        <v>42094.605740740742</v>
      </c>
      <c r="B351" s="112">
        <v>6.0049999999999999</v>
      </c>
      <c r="C351" s="112">
        <v>6657.701</v>
      </c>
      <c r="D351" s="112">
        <v>6.0049999999999999</v>
      </c>
    </row>
    <row r="352" spans="1:4">
      <c r="A352" s="114">
        <v>42094.605925925927</v>
      </c>
      <c r="B352" s="112">
        <v>6.0049999999999999</v>
      </c>
      <c r="C352" s="112">
        <v>6657.8209999999999</v>
      </c>
      <c r="D352" s="112">
        <v>6.0060000000000002</v>
      </c>
    </row>
    <row r="353" spans="1:4">
      <c r="A353" s="114">
        <v>42094.606111111112</v>
      </c>
      <c r="B353" s="112">
        <v>5.9980000000000002</v>
      </c>
      <c r="C353" s="112">
        <v>6657.8050000000003</v>
      </c>
      <c r="D353" s="112">
        <v>6.0060000000000002</v>
      </c>
    </row>
    <row r="354" spans="1:4">
      <c r="A354" s="114">
        <v>42094.606296296297</v>
      </c>
      <c r="B354" s="112">
        <v>5.9969999999999999</v>
      </c>
      <c r="C354" s="112">
        <v>6657.7169999999996</v>
      </c>
      <c r="D354" s="112">
        <v>6.0049999999999999</v>
      </c>
    </row>
    <row r="355" spans="1:4">
      <c r="A355" s="114">
        <v>42094.606469907405</v>
      </c>
      <c r="B355" s="112">
        <v>5.9989999999999997</v>
      </c>
      <c r="C355" s="112">
        <v>6657.6570000000002</v>
      </c>
      <c r="D355" s="112">
        <v>6.0049999999999999</v>
      </c>
    </row>
    <row r="356" spans="1:4">
      <c r="A356" s="114">
        <v>42094.60665509259</v>
      </c>
      <c r="B356" s="112">
        <v>6.0010000000000003</v>
      </c>
      <c r="C356" s="112">
        <v>6657.6769999999997</v>
      </c>
      <c r="D356" s="112">
        <v>6.0049999999999999</v>
      </c>
    </row>
    <row r="357" spans="1:4">
      <c r="A357" s="114">
        <v>42094.606840277775</v>
      </c>
      <c r="B357" s="112">
        <v>6.0030000000000001</v>
      </c>
      <c r="C357" s="112">
        <v>6657.7740000000003</v>
      </c>
      <c r="D357" s="112">
        <v>6.0049999999999999</v>
      </c>
    </row>
    <row r="358" spans="1:4">
      <c r="A358" s="114">
        <v>42094.60701388889</v>
      </c>
      <c r="B358" s="112">
        <v>6.0019999999999998</v>
      </c>
      <c r="C358" s="112">
        <v>6657.8109999999997</v>
      </c>
      <c r="D358" s="112">
        <v>6.0060000000000002</v>
      </c>
    </row>
    <row r="359" spans="1:4">
      <c r="A359" s="114">
        <v>42094.607199074075</v>
      </c>
      <c r="B359" s="112">
        <v>6</v>
      </c>
      <c r="C359" s="112">
        <v>6657.7860000000001</v>
      </c>
      <c r="D359" s="112">
        <v>6.0060000000000002</v>
      </c>
    </row>
    <row r="360" spans="1:4">
      <c r="A360" s="114">
        <v>42094.60738425926</v>
      </c>
      <c r="B360" s="112">
        <v>5.9980000000000002</v>
      </c>
      <c r="C360" s="112">
        <v>6657.7529999999997</v>
      </c>
      <c r="D360" s="112">
        <v>6.0049999999999999</v>
      </c>
    </row>
    <row r="361" spans="1:4">
      <c r="A361" s="114">
        <v>42094.607557870368</v>
      </c>
      <c r="B361" s="112">
        <v>5.9980000000000002</v>
      </c>
      <c r="C361" s="112">
        <v>6657.6930000000002</v>
      </c>
      <c r="D361" s="112">
        <v>6.0049999999999999</v>
      </c>
    </row>
    <row r="362" spans="1:4">
      <c r="A362" s="114">
        <v>42094.607743055552</v>
      </c>
      <c r="B362" s="112">
        <v>6</v>
      </c>
      <c r="C362" s="112">
        <v>6657.6930000000002</v>
      </c>
      <c r="D362" s="112">
        <v>6.0049999999999999</v>
      </c>
    </row>
    <row r="363" spans="1:4">
      <c r="A363" s="114">
        <v>42094.607928240737</v>
      </c>
      <c r="B363" s="112">
        <v>6.0030000000000001</v>
      </c>
      <c r="C363" s="112">
        <v>6657.7460000000001</v>
      </c>
      <c r="D363" s="112">
        <v>6.0049999999999999</v>
      </c>
    </row>
    <row r="364" spans="1:4">
      <c r="A364" s="114">
        <v>42094.608113425929</v>
      </c>
      <c r="B364" s="112">
        <v>6.0019999999999998</v>
      </c>
      <c r="C364" s="112">
        <v>6657.7979999999998</v>
      </c>
      <c r="D364" s="112">
        <v>6.0060000000000002</v>
      </c>
    </row>
    <row r="365" spans="1:4">
      <c r="A365" s="114">
        <v>42094.608298611114</v>
      </c>
      <c r="B365" s="112">
        <v>6</v>
      </c>
      <c r="C365" s="112">
        <v>6657.8109999999997</v>
      </c>
      <c r="D365" s="112">
        <v>6.0060000000000002</v>
      </c>
    </row>
    <row r="366" spans="1:4">
      <c r="A366" s="114">
        <v>42094.608472222222</v>
      </c>
      <c r="B366" s="112">
        <v>5.9969999999999999</v>
      </c>
      <c r="C366" s="112">
        <v>6657.7709999999997</v>
      </c>
      <c r="D366" s="112">
        <v>6.0049999999999999</v>
      </c>
    </row>
    <row r="367" spans="1:4">
      <c r="A367" s="114">
        <v>42094.608657407407</v>
      </c>
      <c r="B367" s="112">
        <v>5.9960000000000004</v>
      </c>
      <c r="C367" s="112">
        <v>6657.6549999999997</v>
      </c>
      <c r="D367" s="112">
        <v>6.0049999999999999</v>
      </c>
    </row>
    <row r="368" spans="1:4">
      <c r="A368" s="114">
        <v>42094.608842592592</v>
      </c>
      <c r="B368" s="112">
        <v>5.9980000000000002</v>
      </c>
      <c r="C368" s="112">
        <v>6657.6620000000003</v>
      </c>
      <c r="D368" s="112">
        <v>6.0049999999999999</v>
      </c>
    </row>
    <row r="369" spans="1:4">
      <c r="A369" s="114">
        <v>42094.609016203707</v>
      </c>
      <c r="B369" s="112">
        <v>6.0030000000000001</v>
      </c>
      <c r="C369" s="112">
        <v>6657.6940000000004</v>
      </c>
      <c r="D369" s="112">
        <v>6.0049999999999999</v>
      </c>
    </row>
    <row r="370" spans="1:4">
      <c r="A370" s="114">
        <v>42094.609201388892</v>
      </c>
      <c r="B370" s="112">
        <v>6.0039999999999996</v>
      </c>
      <c r="C370" s="112">
        <v>6657.8050000000003</v>
      </c>
      <c r="D370" s="112">
        <v>6.0060000000000002</v>
      </c>
    </row>
    <row r="371" spans="1:4">
      <c r="A371" s="114">
        <v>42094.609386574077</v>
      </c>
      <c r="B371" s="112">
        <v>6.0019999999999998</v>
      </c>
      <c r="C371" s="112">
        <v>6657.86</v>
      </c>
      <c r="D371" s="112">
        <v>6.0060000000000002</v>
      </c>
    </row>
    <row r="372" spans="1:4">
      <c r="A372" s="114">
        <v>42094.636458333334</v>
      </c>
      <c r="B372" s="112">
        <v>6.9980000000000002</v>
      </c>
      <c r="C372" s="112">
        <v>6803.75</v>
      </c>
      <c r="D372" s="112">
        <v>7.0049999999999999</v>
      </c>
    </row>
    <row r="373" spans="1:4">
      <c r="A373" s="114">
        <v>42094.636643518519</v>
      </c>
      <c r="B373" s="112">
        <v>7</v>
      </c>
      <c r="C373" s="112">
        <v>6803.7619999999997</v>
      </c>
      <c r="D373" s="112">
        <v>7.0049999999999999</v>
      </c>
    </row>
    <row r="374" spans="1:4">
      <c r="A374" s="114">
        <v>42094.636828703704</v>
      </c>
      <c r="B374" s="112">
        <v>7</v>
      </c>
      <c r="C374" s="112">
        <v>6803.7370000000001</v>
      </c>
      <c r="D374" s="112">
        <v>7.0049999999999999</v>
      </c>
    </row>
    <row r="375" spans="1:4">
      <c r="A375" s="114">
        <v>42094.637002314812</v>
      </c>
      <c r="B375" s="112">
        <v>7.0019999999999998</v>
      </c>
      <c r="C375" s="112">
        <v>6803.7839999999997</v>
      </c>
      <c r="D375" s="112">
        <v>7.0060000000000002</v>
      </c>
    </row>
    <row r="376" spans="1:4">
      <c r="A376" s="114">
        <v>42094.637187499997</v>
      </c>
      <c r="B376" s="112">
        <v>7.0019999999999998</v>
      </c>
      <c r="C376" s="112">
        <v>6803.8149999999996</v>
      </c>
      <c r="D376" s="112">
        <v>7.0060000000000002</v>
      </c>
    </row>
    <row r="377" spans="1:4">
      <c r="A377" s="114">
        <v>42094.637372685182</v>
      </c>
      <c r="B377" s="112">
        <v>7</v>
      </c>
      <c r="C377" s="112">
        <v>6803.8159999999998</v>
      </c>
      <c r="D377" s="112">
        <v>7.0060000000000002</v>
      </c>
    </row>
    <row r="378" spans="1:4">
      <c r="A378" s="114">
        <v>42094.637557870374</v>
      </c>
      <c r="B378" s="112">
        <v>6.9980000000000002</v>
      </c>
      <c r="C378" s="112">
        <v>6803.7640000000001</v>
      </c>
      <c r="D378" s="112">
        <v>7.0049999999999999</v>
      </c>
    </row>
    <row r="379" spans="1:4">
      <c r="A379" s="114">
        <v>42094.637731481482</v>
      </c>
      <c r="B379" s="112">
        <v>6.9980000000000002</v>
      </c>
      <c r="C379" s="112">
        <v>6803.6890000000003</v>
      </c>
      <c r="D379" s="112">
        <v>7.0049999999999999</v>
      </c>
    </row>
    <row r="380" spans="1:4">
      <c r="A380" s="114">
        <v>42094.637916666667</v>
      </c>
      <c r="B380" s="112">
        <v>6.9989999999999997</v>
      </c>
      <c r="C380" s="112">
        <v>6803.6909999999998</v>
      </c>
      <c r="D380" s="112">
        <v>7.0049999999999999</v>
      </c>
    </row>
    <row r="381" spans="1:4">
      <c r="A381" s="114">
        <v>42094.638101851851</v>
      </c>
      <c r="B381" s="112">
        <v>7.0010000000000003</v>
      </c>
      <c r="C381" s="112">
        <v>6803.6760000000004</v>
      </c>
      <c r="D381" s="112">
        <v>7.0049999999999999</v>
      </c>
    </row>
    <row r="382" spans="1:4">
      <c r="A382" s="114">
        <v>42094.638287037036</v>
      </c>
      <c r="B382" s="112">
        <v>7.0010000000000003</v>
      </c>
      <c r="C382" s="112">
        <v>6803.7250000000004</v>
      </c>
      <c r="D382" s="112">
        <v>7.0049999999999999</v>
      </c>
    </row>
    <row r="383" spans="1:4">
      <c r="A383" s="114">
        <v>42094.638460648152</v>
      </c>
      <c r="B383" s="112">
        <v>7.0019999999999998</v>
      </c>
      <c r="C383" s="112">
        <v>6803.7920000000004</v>
      </c>
      <c r="D383" s="112">
        <v>7.0060000000000002</v>
      </c>
    </row>
    <row r="384" spans="1:4">
      <c r="A384" s="114">
        <v>42094.638645833336</v>
      </c>
      <c r="B384" s="112">
        <v>7.0019999999999998</v>
      </c>
      <c r="C384" s="112">
        <v>6803.8109999999997</v>
      </c>
      <c r="D384" s="112">
        <v>7.0060000000000002</v>
      </c>
    </row>
    <row r="385" spans="1:4">
      <c r="A385" s="114">
        <v>42094.638831018521</v>
      </c>
      <c r="B385" s="112">
        <v>6.9989999999999997</v>
      </c>
      <c r="C385" s="112">
        <v>6803.8010000000004</v>
      </c>
      <c r="D385" s="112">
        <v>7.0060000000000002</v>
      </c>
    </row>
    <row r="386" spans="1:4">
      <c r="A386" s="114">
        <v>42094.639016203706</v>
      </c>
      <c r="B386" s="112">
        <v>6.9980000000000002</v>
      </c>
      <c r="C386" s="112">
        <v>6805.1909999999998</v>
      </c>
      <c r="D386" s="112">
        <v>7.0149999999999997</v>
      </c>
    </row>
    <row r="387" spans="1:4">
      <c r="A387" s="114">
        <v>42094.639189814814</v>
      </c>
      <c r="B387" s="112">
        <v>6.9980000000000002</v>
      </c>
      <c r="C387" s="112">
        <v>6803.7</v>
      </c>
      <c r="D387" s="112">
        <v>7.0049999999999999</v>
      </c>
    </row>
    <row r="388" spans="1:4">
      <c r="A388" s="114">
        <v>42094.639374999999</v>
      </c>
      <c r="B388" s="112">
        <v>7</v>
      </c>
      <c r="C388" s="112">
        <v>6803.6949999999997</v>
      </c>
      <c r="D388" s="112">
        <v>7.0049999999999999</v>
      </c>
    </row>
    <row r="389" spans="1:4">
      <c r="A389" s="114">
        <v>42094.639560185184</v>
      </c>
      <c r="B389" s="112">
        <v>7.0030000000000001</v>
      </c>
      <c r="C389" s="112">
        <v>6803.7569999999996</v>
      </c>
      <c r="D389" s="112">
        <v>7.0049999999999999</v>
      </c>
    </row>
    <row r="390" spans="1:4">
      <c r="A390" s="114">
        <v>42094.639745370368</v>
      </c>
      <c r="B390" s="112">
        <v>7.0030000000000001</v>
      </c>
      <c r="C390" s="112">
        <v>6803.81</v>
      </c>
      <c r="D390" s="112">
        <v>7.0060000000000002</v>
      </c>
    </row>
    <row r="391" spans="1:4">
      <c r="A391" s="114">
        <v>42094.639918981484</v>
      </c>
      <c r="B391" s="112">
        <v>7</v>
      </c>
      <c r="C391" s="112">
        <v>6803.83</v>
      </c>
      <c r="D391" s="112">
        <v>7.0060000000000002</v>
      </c>
    </row>
    <row r="392" spans="1:4">
      <c r="A392" s="114">
        <v>42094.640104166669</v>
      </c>
      <c r="B392" s="112">
        <v>6.9969999999999999</v>
      </c>
      <c r="C392" s="112">
        <v>6803.7449999999999</v>
      </c>
      <c r="D392" s="112">
        <v>7.0049999999999999</v>
      </c>
    </row>
    <row r="393" spans="1:4">
      <c r="A393" s="114">
        <v>42094.640289351853</v>
      </c>
      <c r="B393" s="112">
        <v>6.9969999999999999</v>
      </c>
      <c r="C393" s="112">
        <v>6803.683</v>
      </c>
      <c r="D393" s="112">
        <v>7.0049999999999999</v>
      </c>
    </row>
    <row r="394" spans="1:4">
      <c r="A394" s="114">
        <v>42094.640474537038</v>
      </c>
      <c r="B394" s="112">
        <v>7</v>
      </c>
      <c r="C394" s="112">
        <v>6803.6869999999999</v>
      </c>
      <c r="D394" s="112">
        <v>7.0049999999999999</v>
      </c>
    </row>
    <row r="395" spans="1:4">
      <c r="A395" s="114">
        <v>42094.640659722223</v>
      </c>
      <c r="B395" s="112">
        <v>7.0010000000000003</v>
      </c>
      <c r="C395" s="112">
        <v>6803.7479999999996</v>
      </c>
      <c r="D395" s="112">
        <v>7.0049999999999999</v>
      </c>
    </row>
    <row r="396" spans="1:4">
      <c r="A396" s="114">
        <v>42094.640833333331</v>
      </c>
      <c r="B396" s="112">
        <v>7.0030000000000001</v>
      </c>
      <c r="C396" s="112">
        <v>6803.8280000000004</v>
      </c>
      <c r="D396" s="112">
        <v>7.0060000000000002</v>
      </c>
    </row>
    <row r="397" spans="1:4">
      <c r="A397" s="114">
        <v>42094.641018518516</v>
      </c>
      <c r="B397" s="112">
        <v>7.0030000000000001</v>
      </c>
      <c r="C397" s="112">
        <v>6803.89</v>
      </c>
      <c r="D397" s="112">
        <v>7.0060000000000002</v>
      </c>
    </row>
    <row r="398" spans="1:4">
      <c r="A398" s="114">
        <v>42094.641203703701</v>
      </c>
      <c r="B398" s="112">
        <v>7</v>
      </c>
      <c r="C398" s="112">
        <v>6803.9160000000002</v>
      </c>
      <c r="D398" s="112">
        <v>7.0060000000000002</v>
      </c>
    </row>
    <row r="399" spans="1:4">
      <c r="A399" s="114">
        <v>42094.641377314816</v>
      </c>
      <c r="B399" s="112">
        <v>6.9969999999999999</v>
      </c>
      <c r="C399" s="112">
        <v>6803.7449999999999</v>
      </c>
      <c r="D399" s="112">
        <v>7.0049999999999999</v>
      </c>
    </row>
    <row r="400" spans="1:4">
      <c r="A400" s="114">
        <v>42094.641562500001</v>
      </c>
      <c r="B400" s="112">
        <v>6.9960000000000004</v>
      </c>
      <c r="C400" s="112">
        <v>6803.7359999999999</v>
      </c>
      <c r="D400" s="112">
        <v>7.0049999999999999</v>
      </c>
    </row>
    <row r="401" spans="1:4">
      <c r="A401" s="114">
        <v>42094.641747685186</v>
      </c>
      <c r="B401" s="112">
        <v>6.9980000000000002</v>
      </c>
      <c r="C401" s="112">
        <v>6803.6570000000002</v>
      </c>
      <c r="D401" s="112">
        <v>7.0049999999999999</v>
      </c>
    </row>
    <row r="402" spans="1:4">
      <c r="A402" s="114">
        <v>42094.641932870371</v>
      </c>
      <c r="B402" s="112">
        <v>7.0019999999999998</v>
      </c>
      <c r="C402" s="112">
        <v>6803.72</v>
      </c>
      <c r="D402" s="112">
        <v>7.0049999999999999</v>
      </c>
    </row>
    <row r="403" spans="1:4">
      <c r="A403" s="114">
        <v>42094.642118055555</v>
      </c>
      <c r="B403" s="112">
        <v>7.0039999999999996</v>
      </c>
      <c r="C403" s="112">
        <v>6803.8270000000002</v>
      </c>
      <c r="D403" s="112">
        <v>7.0060000000000002</v>
      </c>
    </row>
    <row r="404" spans="1:4">
      <c r="A404" s="114">
        <v>42094.642291666663</v>
      </c>
      <c r="B404" s="112">
        <v>7.0030000000000001</v>
      </c>
      <c r="C404" s="112">
        <v>6803.9089999999997</v>
      </c>
      <c r="D404" s="112">
        <v>7.0060000000000002</v>
      </c>
    </row>
    <row r="405" spans="1:4">
      <c r="A405" s="114">
        <v>42094.642476851855</v>
      </c>
      <c r="B405" s="112">
        <v>7</v>
      </c>
      <c r="C405" s="112">
        <v>6803.9219999999996</v>
      </c>
      <c r="D405" s="112">
        <v>7.0060000000000002</v>
      </c>
    </row>
    <row r="406" spans="1:4">
      <c r="A406" s="114">
        <v>42094.64266203704</v>
      </c>
      <c r="B406" s="112">
        <v>6.9969999999999999</v>
      </c>
      <c r="C406" s="112">
        <v>6803.8540000000003</v>
      </c>
      <c r="D406" s="112">
        <v>7.0060000000000002</v>
      </c>
    </row>
    <row r="407" spans="1:4">
      <c r="A407" s="114">
        <v>42094.642835648148</v>
      </c>
      <c r="B407" s="112">
        <v>6.9960000000000004</v>
      </c>
      <c r="C407" s="112">
        <v>6803.7449999999999</v>
      </c>
      <c r="D407" s="112">
        <v>7.0049999999999999</v>
      </c>
    </row>
    <row r="408" spans="1:4">
      <c r="A408" s="114">
        <v>42094.643020833333</v>
      </c>
      <c r="B408" s="112">
        <v>6.9980000000000002</v>
      </c>
      <c r="C408" s="112">
        <v>6803.7129999999997</v>
      </c>
      <c r="D408" s="112">
        <v>7.0049999999999999</v>
      </c>
    </row>
    <row r="409" spans="1:4">
      <c r="A409" s="114">
        <v>42094.643206018518</v>
      </c>
      <c r="B409" s="112">
        <v>7.0019999999999998</v>
      </c>
      <c r="C409" s="112">
        <v>6803.7650000000003</v>
      </c>
      <c r="D409" s="112">
        <v>7.0049999999999999</v>
      </c>
    </row>
    <row r="410" spans="1:4">
      <c r="A410" s="114">
        <v>42094.643391203703</v>
      </c>
      <c r="B410" s="112">
        <v>7.0049999999999999</v>
      </c>
      <c r="C410" s="112">
        <v>6803.8760000000002</v>
      </c>
      <c r="D410" s="112">
        <v>7.0060000000000002</v>
      </c>
    </row>
    <row r="411" spans="1:4">
      <c r="A411" s="114">
        <v>42094.643564814818</v>
      </c>
      <c r="B411" s="112">
        <v>7.0030000000000001</v>
      </c>
      <c r="C411" s="112">
        <v>6803.9639999999999</v>
      </c>
      <c r="D411" s="112">
        <v>7.0069999999999997</v>
      </c>
    </row>
    <row r="412" spans="1:4">
      <c r="A412" s="114">
        <v>42094.643750000003</v>
      </c>
      <c r="B412" s="112">
        <v>6.9989999999999997</v>
      </c>
      <c r="C412" s="112">
        <v>6803.9750000000004</v>
      </c>
      <c r="D412" s="112">
        <v>7.0069999999999997</v>
      </c>
    </row>
    <row r="413" spans="1:4">
      <c r="A413" s="114">
        <v>42094.643935185188</v>
      </c>
      <c r="B413" s="112">
        <v>6.9960000000000004</v>
      </c>
      <c r="C413" s="112">
        <v>6803.8760000000002</v>
      </c>
      <c r="D413" s="112">
        <v>7.0060000000000002</v>
      </c>
    </row>
    <row r="414" spans="1:4">
      <c r="A414" s="114">
        <v>42094.644108796296</v>
      </c>
      <c r="B414" s="112">
        <v>6.9960000000000004</v>
      </c>
      <c r="C414" s="112">
        <v>6803.7340000000004</v>
      </c>
      <c r="D414" s="112">
        <v>7.0049999999999999</v>
      </c>
    </row>
    <row r="415" spans="1:4">
      <c r="A415" s="114">
        <v>42094.644293981481</v>
      </c>
      <c r="B415" s="112">
        <v>6.9989999999999997</v>
      </c>
      <c r="C415" s="112">
        <v>6803.7039999999997</v>
      </c>
      <c r="D415" s="112">
        <v>7.0049999999999999</v>
      </c>
    </row>
    <row r="416" spans="1:4">
      <c r="A416" s="114">
        <v>42094.644479166665</v>
      </c>
      <c r="B416" s="112">
        <v>7.0039999999999996</v>
      </c>
      <c r="C416" s="112">
        <v>6803.7870000000003</v>
      </c>
      <c r="D416" s="112">
        <v>7.0060000000000002</v>
      </c>
    </row>
    <row r="417" spans="1:4">
      <c r="A417" s="114">
        <v>42094.64466435185</v>
      </c>
      <c r="B417" s="112">
        <v>7.0049999999999999</v>
      </c>
      <c r="C417" s="112">
        <v>6803.9219999999996</v>
      </c>
      <c r="D417" s="112">
        <v>7.0060000000000002</v>
      </c>
    </row>
    <row r="418" spans="1:4">
      <c r="A418" s="114">
        <v>42094.644837962966</v>
      </c>
      <c r="B418" s="112">
        <v>7.0030000000000001</v>
      </c>
      <c r="C418" s="112">
        <v>6803.9189999999999</v>
      </c>
      <c r="D418" s="112">
        <v>7.0060000000000002</v>
      </c>
    </row>
    <row r="419" spans="1:4">
      <c r="A419" s="114">
        <v>42094.64502314815</v>
      </c>
      <c r="B419" s="112">
        <v>6.9969999999999999</v>
      </c>
      <c r="C419" s="112">
        <v>6803.8760000000002</v>
      </c>
      <c r="D419" s="112">
        <v>7.0060000000000002</v>
      </c>
    </row>
    <row r="420" spans="1:4">
      <c r="A420" s="114">
        <v>42094.645208333335</v>
      </c>
      <c r="B420" s="112">
        <v>6.9950000000000001</v>
      </c>
      <c r="C420" s="112">
        <v>6803.7209999999995</v>
      </c>
      <c r="D420" s="112">
        <v>7.0049999999999999</v>
      </c>
    </row>
    <row r="421" spans="1:4">
      <c r="A421" s="114">
        <v>42094.64539351852</v>
      </c>
      <c r="B421" s="112">
        <v>6.9960000000000004</v>
      </c>
      <c r="C421" s="112">
        <v>6803.6549999999997</v>
      </c>
      <c r="D421" s="112">
        <v>7.0049999999999999</v>
      </c>
    </row>
    <row r="422" spans="1:4">
      <c r="A422" s="114">
        <v>42094.645578703705</v>
      </c>
      <c r="B422" s="112">
        <v>7</v>
      </c>
      <c r="C422" s="112">
        <v>6803.6360000000004</v>
      </c>
      <c r="D422" s="112">
        <v>7.0049999999999999</v>
      </c>
    </row>
    <row r="423" spans="1:4">
      <c r="A423" s="114">
        <v>42094.645752314813</v>
      </c>
      <c r="B423" s="112">
        <v>7.0049999999999999</v>
      </c>
      <c r="C423" s="112">
        <v>6803.7420000000002</v>
      </c>
      <c r="D423" s="112">
        <v>7.0049999999999999</v>
      </c>
    </row>
    <row r="424" spans="1:4">
      <c r="A424" s="114">
        <v>42094.645937499998</v>
      </c>
      <c r="B424" s="112">
        <v>7.0049999999999999</v>
      </c>
      <c r="C424" s="112">
        <v>6803.893</v>
      </c>
      <c r="D424" s="112">
        <v>7.0060000000000002</v>
      </c>
    </row>
    <row r="425" spans="1:4">
      <c r="A425" s="114">
        <v>42094.646122685182</v>
      </c>
      <c r="B425" s="112">
        <v>7.0019999999999998</v>
      </c>
      <c r="C425" s="112">
        <v>6803.9809999999998</v>
      </c>
      <c r="D425" s="112">
        <v>7.0069999999999997</v>
      </c>
    </row>
    <row r="426" spans="1:4">
      <c r="A426" s="114">
        <v>42094.646307870367</v>
      </c>
      <c r="B426" s="112">
        <v>6.9980000000000002</v>
      </c>
      <c r="C426" s="112">
        <v>6803.9219999999996</v>
      </c>
      <c r="D426" s="112">
        <v>7.0060000000000002</v>
      </c>
    </row>
    <row r="427" spans="1:4">
      <c r="A427" s="114">
        <v>42094.646481481483</v>
      </c>
      <c r="B427" s="112">
        <v>6.9950000000000001</v>
      </c>
      <c r="C427" s="112">
        <v>6803.7780000000002</v>
      </c>
      <c r="D427" s="112">
        <v>7.0060000000000002</v>
      </c>
    </row>
    <row r="428" spans="1:4">
      <c r="A428" s="114">
        <v>42094.646666666667</v>
      </c>
      <c r="B428" s="112">
        <v>6.9960000000000004</v>
      </c>
      <c r="C428" s="112">
        <v>6803.6260000000002</v>
      </c>
      <c r="D428" s="112">
        <v>7.0039999999999996</v>
      </c>
    </row>
    <row r="429" spans="1:4">
      <c r="A429" s="114">
        <v>42094.646851851852</v>
      </c>
      <c r="B429" s="112">
        <v>7</v>
      </c>
      <c r="C429" s="112">
        <v>6803.6549999999997</v>
      </c>
      <c r="D429" s="112">
        <v>7.0049999999999999</v>
      </c>
    </row>
    <row r="430" spans="1:4">
      <c r="A430" s="114">
        <v>42094.647037037037</v>
      </c>
      <c r="B430" s="112">
        <v>7.0039999999999996</v>
      </c>
      <c r="C430" s="112">
        <v>6803.7250000000004</v>
      </c>
      <c r="D430" s="112">
        <v>7.0049999999999999</v>
      </c>
    </row>
    <row r="431" spans="1:4">
      <c r="A431" s="114">
        <v>42094.647210648145</v>
      </c>
      <c r="B431" s="112">
        <v>7.0060000000000002</v>
      </c>
      <c r="C431" s="112">
        <v>6803.8810000000003</v>
      </c>
      <c r="D431" s="112">
        <v>7.0060000000000002</v>
      </c>
    </row>
    <row r="432" spans="1:4">
      <c r="A432" s="114"/>
    </row>
    <row r="433" spans="1:1">
      <c r="A433" s="114"/>
    </row>
    <row r="434" spans="1:1">
      <c r="A434" s="114"/>
    </row>
    <row r="435" spans="1:1">
      <c r="A435" s="114"/>
    </row>
    <row r="436" spans="1:1">
      <c r="A436" s="114"/>
    </row>
    <row r="437" spans="1:1">
      <c r="A437" s="114"/>
    </row>
    <row r="438" spans="1:1">
      <c r="A438" s="114"/>
    </row>
    <row r="439" spans="1:1">
      <c r="A439" s="114"/>
    </row>
    <row r="440" spans="1:1">
      <c r="A440" s="114"/>
    </row>
    <row r="441" spans="1:1">
      <c r="A441" s="114"/>
    </row>
    <row r="442" spans="1:1">
      <c r="A442" s="114"/>
    </row>
    <row r="443" spans="1:1">
      <c r="A443" s="114"/>
    </row>
    <row r="444" spans="1:1">
      <c r="A444" s="114"/>
    </row>
    <row r="445" spans="1:1">
      <c r="A445" s="114"/>
    </row>
    <row r="446" spans="1:1">
      <c r="A446" s="114"/>
    </row>
    <row r="447" spans="1:1">
      <c r="A447" s="114"/>
    </row>
    <row r="448" spans="1:1">
      <c r="A448" s="114"/>
    </row>
    <row r="449" spans="1:1">
      <c r="A449" s="114"/>
    </row>
    <row r="450" spans="1:1">
      <c r="A450" s="114"/>
    </row>
    <row r="451" spans="1:1">
      <c r="A451" s="114"/>
    </row>
    <row r="452" spans="1:1">
      <c r="A452" s="114"/>
    </row>
    <row r="453" spans="1:1">
      <c r="A453" s="114"/>
    </row>
    <row r="454" spans="1:1">
      <c r="A454" s="114"/>
    </row>
    <row r="455" spans="1:1">
      <c r="A455" s="114"/>
    </row>
    <row r="456" spans="1:1">
      <c r="A456" s="114"/>
    </row>
    <row r="457" spans="1:1">
      <c r="A457" s="114"/>
    </row>
    <row r="458" spans="1:1">
      <c r="A458" s="114"/>
    </row>
    <row r="459" spans="1:1">
      <c r="A459" s="114"/>
    </row>
    <row r="460" spans="1:1">
      <c r="A460" s="114"/>
    </row>
    <row r="461" spans="1:1">
      <c r="A461" s="114"/>
    </row>
    <row r="462" spans="1:1">
      <c r="A462" s="114"/>
    </row>
    <row r="463" spans="1:1">
      <c r="A463" s="114"/>
    </row>
    <row r="464" spans="1:1">
      <c r="A464" s="114"/>
    </row>
    <row r="465" spans="1:1">
      <c r="A465" s="114"/>
    </row>
    <row r="466" spans="1:1">
      <c r="A466" s="114"/>
    </row>
    <row r="467" spans="1:1">
      <c r="A467" s="114"/>
    </row>
    <row r="468" spans="1:1">
      <c r="A468" s="114"/>
    </row>
    <row r="469" spans="1:1">
      <c r="A469" s="114"/>
    </row>
    <row r="470" spans="1:1">
      <c r="A470" s="114"/>
    </row>
    <row r="471" spans="1:1">
      <c r="A471" s="114"/>
    </row>
    <row r="472" spans="1:1">
      <c r="A472" s="114"/>
    </row>
    <row r="473" spans="1:1">
      <c r="A473" s="114"/>
    </row>
    <row r="474" spans="1:1">
      <c r="A474" s="114"/>
    </row>
    <row r="475" spans="1:1">
      <c r="A475" s="114"/>
    </row>
    <row r="476" spans="1:1">
      <c r="A476" s="114"/>
    </row>
    <row r="477" spans="1:1">
      <c r="A477" s="114"/>
    </row>
    <row r="478" spans="1:1">
      <c r="A478" s="114"/>
    </row>
    <row r="479" spans="1:1">
      <c r="A479" s="114"/>
    </row>
    <row r="480" spans="1:1">
      <c r="A480" s="114"/>
    </row>
    <row r="481" spans="1:1">
      <c r="A481" s="114"/>
    </row>
    <row r="482" spans="1:1">
      <c r="A482" s="114"/>
    </row>
    <row r="483" spans="1:1">
      <c r="A483" s="114"/>
    </row>
    <row r="484" spans="1:1">
      <c r="A484" s="114"/>
    </row>
    <row r="485" spans="1:1">
      <c r="A485" s="114"/>
    </row>
    <row r="486" spans="1:1">
      <c r="A486" s="114"/>
    </row>
    <row r="487" spans="1:1">
      <c r="A487" s="114"/>
    </row>
    <row r="488" spans="1:1">
      <c r="A488" s="114"/>
    </row>
    <row r="489" spans="1:1">
      <c r="A489" s="114"/>
    </row>
    <row r="490" spans="1:1">
      <c r="A490" s="114"/>
    </row>
    <row r="491" spans="1:1">
      <c r="A491" s="114"/>
    </row>
  </sheetData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28143"/>
  <sheetViews>
    <sheetView workbookViewId="0">
      <selection activeCell="J35" sqref="J35"/>
    </sheetView>
  </sheetViews>
  <sheetFormatPr defaultRowHeight="12.75"/>
  <cols>
    <col min="1" max="1" width="17.5703125" customWidth="1"/>
    <col min="2" max="2" width="15.28515625" style="42" customWidth="1"/>
    <col min="3" max="3" width="8.85546875" style="44" customWidth="1"/>
    <col min="4" max="4" width="9.28515625" style="153" customWidth="1"/>
    <col min="5" max="5" width="12.7109375" style="43" bestFit="1" customWidth="1"/>
    <col min="6" max="6" width="16" style="43" customWidth="1"/>
    <col min="7" max="7" width="14.7109375" customWidth="1"/>
    <col min="8" max="8" width="11.28515625" customWidth="1"/>
    <col min="9" max="9" width="14.7109375" customWidth="1"/>
    <col min="10" max="10" width="14.42578125" customWidth="1"/>
    <col min="11" max="11" width="15.140625" customWidth="1"/>
    <col min="12" max="12" width="14.28515625" customWidth="1"/>
    <col min="15" max="15" width="21.85546875" customWidth="1"/>
    <col min="16" max="16" width="13.5703125" customWidth="1"/>
  </cols>
  <sheetData>
    <row r="1" spans="1:15">
      <c r="A1" s="150" t="s">
        <v>2966</v>
      </c>
    </row>
    <row r="2" spans="1:15">
      <c r="A2" s="151" t="s">
        <v>2958</v>
      </c>
    </row>
    <row r="3" spans="1:15">
      <c r="A3" s="151" t="s">
        <v>2961</v>
      </c>
      <c r="B3" s="139" t="s">
        <v>59</v>
      </c>
    </row>
    <row r="4" spans="1:15">
      <c r="A4" s="147"/>
      <c r="B4" s="139"/>
    </row>
    <row r="5" spans="1:15" ht="38.25">
      <c r="A5" s="45" t="s">
        <v>2959</v>
      </c>
      <c r="B5" s="45" t="s">
        <v>2960</v>
      </c>
      <c r="C5" s="47" t="s">
        <v>2964</v>
      </c>
      <c r="D5" s="154" t="s">
        <v>2965</v>
      </c>
      <c r="E5" s="46" t="s">
        <v>46</v>
      </c>
      <c r="F5" s="46" t="s">
        <v>2963</v>
      </c>
      <c r="G5" s="48"/>
      <c r="H5" s="158" t="s">
        <v>58</v>
      </c>
      <c r="I5" s="158" t="s">
        <v>2967</v>
      </c>
      <c r="J5" s="158" t="s">
        <v>2981</v>
      </c>
      <c r="K5" s="158" t="s">
        <v>2979</v>
      </c>
      <c r="L5" s="158" t="s">
        <v>2980</v>
      </c>
    </row>
    <row r="6" spans="1:15">
      <c r="A6" s="108" t="s">
        <v>2962</v>
      </c>
      <c r="B6" s="144">
        <v>0.31915509259259262</v>
      </c>
      <c r="C6" s="44">
        <v>1631</v>
      </c>
      <c r="D6" s="153">
        <f>C6/32768*4.096/2</f>
        <v>0.1019375</v>
      </c>
      <c r="E6" s="109">
        <v>11047.628223656742</v>
      </c>
      <c r="F6" s="140">
        <v>22.668201598676433</v>
      </c>
      <c r="G6" s="108"/>
      <c r="H6" s="155">
        <v>1</v>
      </c>
      <c r="I6" s="156">
        <f>AVERAGE($C779:$C882)</f>
        <v>16773</v>
      </c>
      <c r="J6" s="156">
        <f>STDEV($C779:$C882)</f>
        <v>0</v>
      </c>
      <c r="K6" s="157">
        <f>AVERAGE($E779:$E882)</f>
        <v>30972.804001250341</v>
      </c>
      <c r="L6" s="157">
        <f>STDEV($E779:$E882)</f>
        <v>5.1178347372796512E-11</v>
      </c>
    </row>
    <row r="7" spans="1:15">
      <c r="A7" s="108" t="s">
        <v>2962</v>
      </c>
      <c r="B7" s="144" t="s">
        <v>63</v>
      </c>
      <c r="C7" s="44">
        <v>1635</v>
      </c>
      <c r="D7" s="153">
        <f t="shared" ref="D7:D70" si="0">C7/32768*4.096/2</f>
        <v>0.1021875</v>
      </c>
      <c r="E7" s="109">
        <v>11050.332444672855</v>
      </c>
      <c r="F7" s="140">
        <v>22.662692109631337</v>
      </c>
      <c r="G7" s="108"/>
      <c r="H7" s="155">
        <v>2</v>
      </c>
      <c r="I7" s="156">
        <f>AVERAGE($C1118:$C1207)</f>
        <v>16154.333333333334</v>
      </c>
      <c r="J7" s="156">
        <f>STDEV($C1118:$C1207)</f>
        <v>0.47404546313997759</v>
      </c>
      <c r="K7" s="157">
        <f>AVERAGE($E1118:$E1207)</f>
        <v>29447.041624023332</v>
      </c>
      <c r="L7" s="157">
        <f>STDEV($E1118:$E1207)</f>
        <v>1.1255833336372409</v>
      </c>
    </row>
    <row r="8" spans="1:15">
      <c r="A8" s="108" t="s">
        <v>2962</v>
      </c>
      <c r="B8" s="144" t="s">
        <v>64</v>
      </c>
      <c r="C8" s="44">
        <v>1639</v>
      </c>
      <c r="D8" s="153">
        <f t="shared" si="0"/>
        <v>0.1024375</v>
      </c>
      <c r="E8" s="109">
        <v>11053.037360660477</v>
      </c>
      <c r="F8" s="140">
        <v>22.657182733317882</v>
      </c>
      <c r="G8" s="108"/>
      <c r="H8" s="155">
        <v>3</v>
      </c>
      <c r="I8" s="156">
        <f>AVERAGE($C1442:$C1534)</f>
        <v>15522.322580645161</v>
      </c>
      <c r="J8" s="156">
        <f>STDEV($C1442:$C1534)</f>
        <v>0.46999746351259747</v>
      </c>
      <c r="K8" s="157">
        <f>AVERAGE($E1442:$E1534)</f>
        <v>28001.406645007701</v>
      </c>
      <c r="L8" s="157">
        <f>STDEV($E1442:$E1534)</f>
        <v>1.0356758854202397</v>
      </c>
      <c r="O8" s="114"/>
    </row>
    <row r="9" spans="1:15">
      <c r="A9" s="108" t="s">
        <v>2962</v>
      </c>
      <c r="B9" s="144" t="s">
        <v>65</v>
      </c>
      <c r="C9" s="44">
        <v>1643</v>
      </c>
      <c r="D9" s="153">
        <f t="shared" si="0"/>
        <v>0.1026875</v>
      </c>
      <c r="E9" s="109">
        <v>11055.74297188755</v>
      </c>
      <c r="F9" s="140">
        <v>22.651673469567072</v>
      </c>
      <c r="G9" s="108"/>
      <c r="H9" s="155">
        <v>4</v>
      </c>
      <c r="I9" s="156">
        <f>AVERAGE($C1770:$C1861)</f>
        <v>14879.347826086956</v>
      </c>
      <c r="J9" s="156">
        <f>STDEV($C1770:$C1861)</f>
        <v>0.47889026040398358</v>
      </c>
      <c r="K9" s="157">
        <f>AVERAGE($E1770:$E1861)</f>
        <v>26635.515861853812</v>
      </c>
      <c r="L9" s="157">
        <f>STDEV($E1770:$E1861)</f>
        <v>0.98077205909114229</v>
      </c>
      <c r="O9" s="114"/>
    </row>
    <row r="10" spans="1:15">
      <c r="A10" s="148" t="s">
        <v>2962</v>
      </c>
      <c r="B10" s="144" t="s">
        <v>66</v>
      </c>
      <c r="C10" s="44">
        <v>1649</v>
      </c>
      <c r="D10" s="153">
        <f t="shared" si="0"/>
        <v>0.1030625</v>
      </c>
      <c r="E10" s="43">
        <v>11059.802692888588</v>
      </c>
      <c r="F10" s="140">
        <v>22.643409784626385</v>
      </c>
      <c r="G10" s="2"/>
      <c r="H10" s="155">
        <v>5</v>
      </c>
      <c r="I10" s="156">
        <f>AVERAGE($C2093:$C2186)</f>
        <v>14226.031914893618</v>
      </c>
      <c r="J10" s="156">
        <f>STDEV($C2093:$C2186)</f>
        <v>0.53785971028497603</v>
      </c>
      <c r="K10" s="157">
        <f>AVERAGE($E2093:$E2186)</f>
        <v>25344.683883475875</v>
      </c>
      <c r="L10" s="157">
        <f>STDEV($E2093:$E2186)</f>
        <v>1.0252685933288235</v>
      </c>
      <c r="O10" s="114"/>
    </row>
    <row r="11" spans="1:15">
      <c r="A11" s="148" t="s">
        <v>2962</v>
      </c>
      <c r="B11" s="144" t="s">
        <v>67</v>
      </c>
      <c r="C11" s="44">
        <v>1655</v>
      </c>
      <c r="D11" s="153">
        <f t="shared" si="0"/>
        <v>0.1034375</v>
      </c>
      <c r="E11" s="43">
        <v>11063.863979686948</v>
      </c>
      <c r="F11" s="140">
        <v>22.63514635200147</v>
      </c>
      <c r="G11" s="2"/>
      <c r="H11" s="155">
        <v>6</v>
      </c>
      <c r="I11" s="156">
        <f>AVERAGE($C2422:$C2514)</f>
        <v>13562.268817204302</v>
      </c>
      <c r="J11" s="156">
        <f>STDEV($C2422:$C2514)</f>
        <v>0.44574766078140998</v>
      </c>
      <c r="K11" s="157">
        <f>AVERAGE($E2422:$E2514)</f>
        <v>24123.147622533408</v>
      </c>
      <c r="L11" s="157">
        <f>STDEV($E2422:$E2514)</f>
        <v>0.7919864791271134</v>
      </c>
      <c r="O11" s="114"/>
    </row>
    <row r="12" spans="1:15">
      <c r="A12" s="148" t="s">
        <v>2962</v>
      </c>
      <c r="B12" s="144" t="s">
        <v>68</v>
      </c>
      <c r="C12" s="44">
        <v>1661</v>
      </c>
      <c r="D12" s="153">
        <f t="shared" si="0"/>
        <v>0.1038125</v>
      </c>
      <c r="E12" s="43">
        <v>11067.926833188671</v>
      </c>
      <c r="F12" s="140">
        <v>22.626883171122188</v>
      </c>
      <c r="G12" s="2"/>
      <c r="H12" s="155">
        <v>7</v>
      </c>
      <c r="I12" s="156">
        <f>AVERAGE($C2748:$C2841)</f>
        <v>12888.936170212766</v>
      </c>
      <c r="J12" s="156">
        <f>STDEV($C2748:$C2841)</f>
        <v>0.74499780815579819</v>
      </c>
      <c r="K12" s="157">
        <f>AVERAGE($E2748:$E2841)</f>
        <v>22967.347281648705</v>
      </c>
      <c r="L12" s="157">
        <f>STDEV($E2748:$E2841)</f>
        <v>1.2355056190156652</v>
      </c>
      <c r="O12" s="114"/>
    </row>
    <row r="13" spans="1:15">
      <c r="A13" s="148" t="s">
        <v>2962</v>
      </c>
      <c r="B13" s="144" t="s">
        <v>69</v>
      </c>
      <c r="C13" s="44">
        <v>1667</v>
      </c>
      <c r="D13" s="153">
        <f t="shared" si="0"/>
        <v>0.1041875</v>
      </c>
      <c r="E13" s="43">
        <v>11071.991254300505</v>
      </c>
      <c r="F13" s="140">
        <v>22.618620241418625</v>
      </c>
      <c r="G13" s="2"/>
      <c r="H13" s="155"/>
      <c r="I13" s="156"/>
      <c r="J13" s="156"/>
      <c r="K13" s="157"/>
      <c r="L13" s="157"/>
      <c r="O13" s="114"/>
    </row>
    <row r="14" spans="1:15">
      <c r="A14" s="149" t="s">
        <v>2962</v>
      </c>
      <c r="B14" s="144" t="s">
        <v>70</v>
      </c>
      <c r="C14" s="44">
        <v>1673</v>
      </c>
      <c r="D14" s="153">
        <f t="shared" si="0"/>
        <v>0.1045625</v>
      </c>
      <c r="E14" s="43">
        <v>11076.057243929892</v>
      </c>
      <c r="F14" s="140">
        <v>22.610357562320587</v>
      </c>
      <c r="H14" s="159"/>
      <c r="I14" s="159"/>
      <c r="J14" s="159"/>
      <c r="K14" s="160"/>
      <c r="L14" s="160"/>
      <c r="O14" s="114"/>
    </row>
    <row r="15" spans="1:15">
      <c r="A15" s="149" t="s">
        <v>2962</v>
      </c>
      <c r="B15" s="144" t="s">
        <v>71</v>
      </c>
      <c r="C15" s="44">
        <v>1678</v>
      </c>
      <c r="D15" s="153">
        <f t="shared" si="0"/>
        <v>0.104875</v>
      </c>
      <c r="E15" s="43">
        <v>11079.446767449341</v>
      </c>
      <c r="F15" s="140">
        <v>22.603472187429077</v>
      </c>
      <c r="O15" s="114"/>
    </row>
    <row r="16" spans="1:15">
      <c r="A16" s="149" t="s">
        <v>2962</v>
      </c>
      <c r="B16" s="144" t="s">
        <v>72</v>
      </c>
      <c r="C16" s="44">
        <v>1683</v>
      </c>
      <c r="D16" s="153">
        <f t="shared" si="0"/>
        <v>0.1051875</v>
      </c>
      <c r="E16" s="43">
        <v>11082.837381373653</v>
      </c>
      <c r="F16" s="140">
        <v>22.596586985843658</v>
      </c>
      <c r="O16" s="114"/>
    </row>
    <row r="17" spans="1:15">
      <c r="A17" s="149" t="s">
        <v>2962</v>
      </c>
      <c r="B17" s="144" t="s">
        <v>73</v>
      </c>
      <c r="C17" s="44">
        <v>1686</v>
      </c>
      <c r="D17" s="153">
        <f t="shared" si="0"/>
        <v>0.105375</v>
      </c>
      <c r="E17" s="43">
        <v>11084.872273341483</v>
      </c>
      <c r="F17" s="140">
        <v>22.592455947942028</v>
      </c>
      <c r="O17" s="114"/>
    </row>
    <row r="18" spans="1:15">
      <c r="A18" s="149" t="s">
        <v>2962</v>
      </c>
      <c r="B18" s="144" t="s">
        <v>74</v>
      </c>
      <c r="C18" s="44">
        <v>1746</v>
      </c>
      <c r="D18" s="153">
        <f t="shared" si="0"/>
        <v>0.109125</v>
      </c>
      <c r="E18" s="43">
        <v>11125.652762555606</v>
      </c>
      <c r="F18" s="140">
        <v>22.509848157235467</v>
      </c>
      <c r="O18" s="114"/>
    </row>
    <row r="19" spans="1:15">
      <c r="A19" s="149" t="s">
        <v>2962</v>
      </c>
      <c r="B19" s="152" t="s">
        <v>75</v>
      </c>
      <c r="C19" s="44">
        <v>1878</v>
      </c>
      <c r="D19" s="153">
        <f t="shared" si="0"/>
        <v>0.11737500000000001</v>
      </c>
      <c r="E19" s="43">
        <v>11215.927484622855</v>
      </c>
      <c r="F19" s="140">
        <v>22.32819578928428</v>
      </c>
    </row>
    <row r="20" spans="1:15">
      <c r="A20" s="149" t="s">
        <v>2962</v>
      </c>
      <c r="B20" s="144" t="s">
        <v>76</v>
      </c>
      <c r="C20" s="44">
        <v>2136</v>
      </c>
      <c r="D20" s="153">
        <f t="shared" si="0"/>
        <v>0.13350000000000001</v>
      </c>
      <c r="E20" s="43">
        <v>11394.620005223296</v>
      </c>
      <c r="F20" s="140">
        <v>21.973464671683701</v>
      </c>
    </row>
    <row r="21" spans="1:15">
      <c r="A21" s="149" t="s">
        <v>2962</v>
      </c>
      <c r="B21" s="144" t="s">
        <v>77</v>
      </c>
      <c r="C21" s="44">
        <v>2529</v>
      </c>
      <c r="D21" s="153">
        <f t="shared" si="0"/>
        <v>0.15806249999999999</v>
      </c>
      <c r="E21" s="43">
        <v>11672.674360924633</v>
      </c>
      <c r="F21" s="140">
        <v>21.433835978960758</v>
      </c>
    </row>
    <row r="22" spans="1:15">
      <c r="A22" s="149" t="s">
        <v>2962</v>
      </c>
      <c r="B22" s="144" t="s">
        <v>78</v>
      </c>
      <c r="C22" s="44">
        <v>3024</v>
      </c>
      <c r="D22" s="153">
        <f t="shared" si="0"/>
        <v>0.189</v>
      </c>
      <c r="E22" s="43">
        <v>12033.351264120494</v>
      </c>
      <c r="F22" s="140">
        <v>20.755163771952539</v>
      </c>
    </row>
    <row r="23" spans="1:15">
      <c r="A23" s="149" t="s">
        <v>2962</v>
      </c>
      <c r="B23" s="144" t="s">
        <v>79</v>
      </c>
      <c r="C23" s="44">
        <v>3585</v>
      </c>
      <c r="D23" s="153">
        <f t="shared" si="0"/>
        <v>0.2240625</v>
      </c>
      <c r="E23" s="43">
        <v>12456.909844772641</v>
      </c>
      <c r="F23" s="140">
        <v>19.986992490102637</v>
      </c>
    </row>
    <row r="24" spans="1:15">
      <c r="A24" s="149" t="s">
        <v>2962</v>
      </c>
      <c r="B24" s="144" t="s">
        <v>80</v>
      </c>
      <c r="C24" s="44">
        <v>4184</v>
      </c>
      <c r="D24" s="153">
        <f t="shared" si="0"/>
        <v>0.26150000000000001</v>
      </c>
      <c r="E24" s="43">
        <v>12927.511894766303</v>
      </c>
      <c r="F24" s="140">
        <v>19.167447869784951</v>
      </c>
    </row>
    <row r="25" spans="1:15">
      <c r="A25" s="149" t="s">
        <v>2962</v>
      </c>
      <c r="B25" s="144" t="s">
        <v>81</v>
      </c>
      <c r="C25" s="44">
        <v>4797</v>
      </c>
      <c r="D25" s="153">
        <f t="shared" si="0"/>
        <v>0.29981249999999998</v>
      </c>
      <c r="E25" s="43">
        <v>13429.981051803654</v>
      </c>
      <c r="F25" s="140">
        <v>18.328876023049418</v>
      </c>
    </row>
    <row r="26" spans="1:15">
      <c r="A26" s="149" t="s">
        <v>2962</v>
      </c>
      <c r="B26" s="144" t="s">
        <v>82</v>
      </c>
      <c r="C26" s="44">
        <v>5415</v>
      </c>
      <c r="D26" s="153">
        <f t="shared" si="0"/>
        <v>0.3384375</v>
      </c>
      <c r="E26" s="43">
        <v>13959.3463239864</v>
      </c>
      <c r="F26" s="140">
        <v>17.482978429487957</v>
      </c>
    </row>
    <row r="27" spans="1:15">
      <c r="A27" s="149" t="s">
        <v>2962</v>
      </c>
      <c r="B27" s="144" t="s">
        <v>83</v>
      </c>
      <c r="C27" s="44">
        <v>6014</v>
      </c>
      <c r="D27" s="153">
        <f t="shared" si="0"/>
        <v>0.37587500000000001</v>
      </c>
      <c r="E27" s="43">
        <v>14495.776332511026</v>
      </c>
      <c r="F27" s="140">
        <v>16.662023336993798</v>
      </c>
    </row>
    <row r="28" spans="1:15">
      <c r="A28" s="149" t="s">
        <v>2962</v>
      </c>
      <c r="B28" s="144" t="s">
        <v>84</v>
      </c>
      <c r="C28" s="44">
        <v>6595</v>
      </c>
      <c r="D28" s="153">
        <f t="shared" si="0"/>
        <v>0.41218749999999998</v>
      </c>
      <c r="E28" s="43">
        <v>15039.544568830474</v>
      </c>
      <c r="F28" s="140">
        <v>15.864174502145772</v>
      </c>
    </row>
    <row r="29" spans="1:15">
      <c r="A29" s="149" t="s">
        <v>2962</v>
      </c>
      <c r="B29" s="144" t="s">
        <v>85</v>
      </c>
      <c r="C29" s="44">
        <v>7149</v>
      </c>
      <c r="D29" s="153">
        <f t="shared" si="0"/>
        <v>0.4468125</v>
      </c>
      <c r="E29" s="43">
        <v>15581.014091104258</v>
      </c>
      <c r="F29" s="140">
        <v>15.101460502955035</v>
      </c>
    </row>
    <row r="30" spans="1:15">
      <c r="A30" s="149" t="s">
        <v>2962</v>
      </c>
      <c r="B30" s="144" t="s">
        <v>86</v>
      </c>
      <c r="C30" s="44">
        <v>7679</v>
      </c>
      <c r="D30" s="153">
        <f t="shared" si="0"/>
        <v>0.47993750000000002</v>
      </c>
      <c r="E30" s="43">
        <v>16121.407788273746</v>
      </c>
      <c r="F30" s="140">
        <v>14.369556382546591</v>
      </c>
    </row>
    <row r="31" spans="1:15">
      <c r="A31" s="149" t="s">
        <v>2962</v>
      </c>
      <c r="B31" s="144" t="s">
        <v>87</v>
      </c>
      <c r="C31" s="44">
        <v>8177</v>
      </c>
      <c r="D31" s="153">
        <f t="shared" si="0"/>
        <v>0.51106249999999998</v>
      </c>
      <c r="E31" s="43">
        <v>16650.400553047864</v>
      </c>
      <c r="F31" s="140">
        <v>13.679456467067212</v>
      </c>
    </row>
    <row r="32" spans="1:15">
      <c r="A32" s="149" t="s">
        <v>2962</v>
      </c>
      <c r="B32" s="144" t="s">
        <v>88</v>
      </c>
      <c r="C32" s="44">
        <v>8644</v>
      </c>
      <c r="D32" s="153">
        <f t="shared" si="0"/>
        <v>0.54025000000000001</v>
      </c>
      <c r="E32" s="43">
        <v>17166.307411706184</v>
      </c>
      <c r="F32" s="140">
        <v>13.029873853617573</v>
      </c>
    </row>
    <row r="33" spans="1:6">
      <c r="A33" s="149" t="s">
        <v>2962</v>
      </c>
      <c r="B33" s="144" t="s">
        <v>89</v>
      </c>
      <c r="C33" s="44">
        <v>9080</v>
      </c>
      <c r="D33" s="153">
        <f t="shared" si="0"/>
        <v>0.5675</v>
      </c>
      <c r="E33" s="43">
        <v>17666.328942924687</v>
      </c>
      <c r="F33" s="140">
        <v>12.420992106136225</v>
      </c>
    </row>
    <row r="34" spans="1:6">
      <c r="A34" s="149" t="s">
        <v>2962</v>
      </c>
      <c r="B34" s="144" t="s">
        <v>90</v>
      </c>
      <c r="C34" s="44">
        <v>9488</v>
      </c>
      <c r="D34" s="153">
        <f t="shared" si="0"/>
        <v>0.59299999999999997</v>
      </c>
      <c r="E34" s="43">
        <v>18151.202749140892</v>
      </c>
      <c r="F34" s="140">
        <v>11.848854943248796</v>
      </c>
    </row>
    <row r="35" spans="1:6">
      <c r="A35" s="149" t="s">
        <v>2962</v>
      </c>
      <c r="B35" s="144" t="s">
        <v>91</v>
      </c>
      <c r="C35" s="44">
        <v>9867</v>
      </c>
      <c r="D35" s="153">
        <f t="shared" si="0"/>
        <v>0.61668750000000006</v>
      </c>
      <c r="E35" s="43">
        <v>18617.090956726781</v>
      </c>
      <c r="F35" s="140">
        <v>11.315140405332954</v>
      </c>
    </row>
    <row r="36" spans="1:6">
      <c r="A36" s="149" t="s">
        <v>2962</v>
      </c>
      <c r="B36" s="144" t="s">
        <v>92</v>
      </c>
      <c r="C36" s="44">
        <v>10219</v>
      </c>
      <c r="D36" s="153">
        <f t="shared" si="0"/>
        <v>0.63868749999999996</v>
      </c>
      <c r="E36" s="43">
        <v>19063.816577231806</v>
      </c>
      <c r="F36" s="140">
        <v>10.817344981480574</v>
      </c>
    </row>
    <row r="37" spans="1:6">
      <c r="A37" s="149" t="s">
        <v>2962</v>
      </c>
      <c r="B37" s="144" t="s">
        <v>93</v>
      </c>
      <c r="C37" s="44">
        <v>10548</v>
      </c>
      <c r="D37" s="153">
        <f t="shared" si="0"/>
        <v>0.65925</v>
      </c>
      <c r="E37" s="43">
        <v>19494.149414941494</v>
      </c>
      <c r="F37" s="140">
        <v>10.350105651613717</v>
      </c>
    </row>
    <row r="38" spans="1:6">
      <c r="A38" s="149" t="s">
        <v>2962</v>
      </c>
      <c r="B38" s="144" t="s">
        <v>94</v>
      </c>
      <c r="C38" s="44">
        <v>10855</v>
      </c>
      <c r="D38" s="153">
        <f t="shared" si="0"/>
        <v>0.67843750000000003</v>
      </c>
      <c r="E38" s="43">
        <v>19907.360927303427</v>
      </c>
      <c r="F38" s="140">
        <v>9.9122766590955962</v>
      </c>
    </row>
    <row r="39" spans="1:6">
      <c r="A39" s="149" t="s">
        <v>2962</v>
      </c>
      <c r="B39" s="144" t="s">
        <v>95</v>
      </c>
      <c r="C39" s="44">
        <v>11141</v>
      </c>
      <c r="D39" s="153">
        <f t="shared" si="0"/>
        <v>0.6963125</v>
      </c>
      <c r="E39" s="43">
        <v>20302.862163036945</v>
      </c>
      <c r="F39" s="140">
        <v>9.5027069607900785</v>
      </c>
    </row>
    <row r="40" spans="1:6">
      <c r="A40" s="149" t="s">
        <v>2962</v>
      </c>
      <c r="B40" s="144" t="s">
        <v>96</v>
      </c>
      <c r="C40" s="44">
        <v>11409</v>
      </c>
      <c r="D40" s="153">
        <f t="shared" si="0"/>
        <v>0.71306250000000004</v>
      </c>
      <c r="E40" s="43">
        <v>20683.084414064328</v>
      </c>
      <c r="F40" s="140">
        <v>9.1173532641745396</v>
      </c>
    </row>
    <row r="41" spans="1:6">
      <c r="A41" s="149" t="s">
        <v>2962</v>
      </c>
      <c r="B41" s="144" t="s">
        <v>97</v>
      </c>
      <c r="C41" s="44">
        <v>11658</v>
      </c>
      <c r="D41" s="153">
        <f t="shared" si="0"/>
        <v>0.72862499999999997</v>
      </c>
      <c r="E41" s="43">
        <v>21045.002368545713</v>
      </c>
      <c r="F41" s="140">
        <v>8.7578980006637721</v>
      </c>
    </row>
    <row r="42" spans="1:6">
      <c r="A42" s="149" t="s">
        <v>2962</v>
      </c>
      <c r="B42" s="144" t="s">
        <v>98</v>
      </c>
      <c r="C42" s="44">
        <v>11891</v>
      </c>
      <c r="D42" s="153">
        <f t="shared" si="0"/>
        <v>0.7431875</v>
      </c>
      <c r="E42" s="43">
        <v>21391.483450687359</v>
      </c>
      <c r="F42" s="140">
        <v>8.4202434967772319</v>
      </c>
    </row>
    <row r="43" spans="1:6">
      <c r="A43" s="149" t="s">
        <v>2962</v>
      </c>
      <c r="B43" s="144" t="s">
        <v>99</v>
      </c>
      <c r="C43" s="44">
        <v>12109</v>
      </c>
      <c r="D43" s="153">
        <f t="shared" si="0"/>
        <v>0.7568125</v>
      </c>
      <c r="E43" s="43">
        <v>21722.735853623119</v>
      </c>
      <c r="F43" s="140">
        <v>8.1031436405764907</v>
      </c>
    </row>
    <row r="44" spans="1:6">
      <c r="A44" s="149" t="s">
        <v>2962</v>
      </c>
      <c r="B44" s="144" t="s">
        <v>100</v>
      </c>
      <c r="C44" s="44">
        <v>12313</v>
      </c>
      <c r="D44" s="153">
        <f t="shared" si="0"/>
        <v>0.76956250000000004</v>
      </c>
      <c r="E44" s="43">
        <v>22039.110241994622</v>
      </c>
      <c r="F44" s="140">
        <v>7.8053324897468315</v>
      </c>
    </row>
    <row r="45" spans="1:6">
      <c r="A45" s="149" t="s">
        <v>2962</v>
      </c>
      <c r="B45" s="144" t="s">
        <v>101</v>
      </c>
      <c r="C45" s="44">
        <v>12504</v>
      </c>
      <c r="D45" s="153">
        <f t="shared" si="0"/>
        <v>0.78149999999999997</v>
      </c>
      <c r="E45" s="43">
        <v>22341.097512830635</v>
      </c>
      <c r="F45" s="140">
        <v>7.5255235085409709</v>
      </c>
    </row>
    <row r="46" spans="1:6">
      <c r="A46" s="149" t="s">
        <v>2962</v>
      </c>
      <c r="B46" s="144" t="s">
        <v>102</v>
      </c>
      <c r="C46" s="44">
        <v>12683</v>
      </c>
      <c r="D46" s="153">
        <f t="shared" si="0"/>
        <v>0.79268749999999999</v>
      </c>
      <c r="E46" s="43">
        <v>22629.325367189445</v>
      </c>
      <c r="F46" s="140">
        <v>7.2624092642238907</v>
      </c>
    </row>
    <row r="47" spans="1:6">
      <c r="A47" s="149" t="s">
        <v>2962</v>
      </c>
      <c r="B47" s="144" t="s">
        <v>103</v>
      </c>
      <c r="C47" s="44">
        <v>12850</v>
      </c>
      <c r="D47" s="153">
        <f t="shared" si="0"/>
        <v>0.80312499999999998</v>
      </c>
      <c r="E47" s="43">
        <v>22902.901897780903</v>
      </c>
      <c r="F47" s="140">
        <v>7.0161385305116823</v>
      </c>
    </row>
    <row r="48" spans="1:6">
      <c r="A48" s="149" t="s">
        <v>2962</v>
      </c>
      <c r="B48" s="144" t="s">
        <v>104</v>
      </c>
      <c r="C48" s="44">
        <v>13008</v>
      </c>
      <c r="D48" s="153">
        <f t="shared" si="0"/>
        <v>0.81300000000000006</v>
      </c>
      <c r="E48" s="43">
        <v>23165.991902834008</v>
      </c>
      <c r="F48" s="140">
        <v>6.7824130560008484</v>
      </c>
    </row>
    <row r="49" spans="1:6">
      <c r="A49" s="149" t="s">
        <v>2962</v>
      </c>
      <c r="B49" s="144" t="s">
        <v>105</v>
      </c>
      <c r="C49" s="44">
        <v>13156</v>
      </c>
      <c r="D49" s="153">
        <f t="shared" si="0"/>
        <v>0.82225000000000004</v>
      </c>
      <c r="E49" s="43">
        <v>23416.275749541099</v>
      </c>
      <c r="F49" s="140">
        <v>6.5628225096405686</v>
      </c>
    </row>
    <row r="50" spans="1:6">
      <c r="A50" s="149" t="s">
        <v>2962</v>
      </c>
      <c r="B50" s="144" t="s">
        <v>106</v>
      </c>
      <c r="C50" s="44">
        <v>13296</v>
      </c>
      <c r="D50" s="153">
        <f t="shared" si="0"/>
        <v>0.83100000000000007</v>
      </c>
      <c r="E50" s="43">
        <v>23656.532456861132</v>
      </c>
      <c r="F50" s="140">
        <v>6.3545016911322136</v>
      </c>
    </row>
    <row r="51" spans="1:6">
      <c r="A51" s="149" t="s">
        <v>2962</v>
      </c>
      <c r="B51" s="144" t="s">
        <v>107</v>
      </c>
      <c r="C51" s="44">
        <v>13427</v>
      </c>
      <c r="D51" s="153">
        <f t="shared" si="0"/>
        <v>0.83918749999999998</v>
      </c>
      <c r="E51" s="43">
        <v>23884.494079933818</v>
      </c>
      <c r="F51" s="140">
        <v>6.1590325145079419</v>
      </c>
    </row>
    <row r="52" spans="1:6">
      <c r="A52" s="149" t="s">
        <v>2962</v>
      </c>
      <c r="B52" s="144" t="s">
        <v>108</v>
      </c>
      <c r="C52" s="44">
        <v>13552</v>
      </c>
      <c r="D52" s="153">
        <f t="shared" si="0"/>
        <v>0.84699999999999998</v>
      </c>
      <c r="E52" s="43">
        <v>24104.912572855952</v>
      </c>
      <c r="F52" s="140">
        <v>5.9720185320082919</v>
      </c>
    </row>
    <row r="53" spans="1:6">
      <c r="A53" s="149" t="s">
        <v>2962</v>
      </c>
      <c r="B53" s="144" t="s">
        <v>109</v>
      </c>
      <c r="C53" s="44">
        <v>13669</v>
      </c>
      <c r="D53" s="153">
        <f t="shared" si="0"/>
        <v>0.85431250000000003</v>
      </c>
      <c r="E53" s="43">
        <v>24313.838420859731</v>
      </c>
      <c r="F53" s="140">
        <v>5.7965242983327698</v>
      </c>
    </row>
    <row r="54" spans="1:6">
      <c r="A54" s="149" t="s">
        <v>2962</v>
      </c>
      <c r="B54" s="144" t="s">
        <v>110</v>
      </c>
      <c r="C54" s="44">
        <v>13781</v>
      </c>
      <c r="D54" s="153">
        <f t="shared" si="0"/>
        <v>0.86131250000000004</v>
      </c>
      <c r="E54" s="43">
        <v>24516.247959129931</v>
      </c>
      <c r="F54" s="140">
        <v>5.6281152211005292</v>
      </c>
    </row>
    <row r="55" spans="1:6">
      <c r="A55" s="149" t="s">
        <v>2962</v>
      </c>
      <c r="B55" s="144" t="s">
        <v>111</v>
      </c>
      <c r="C55" s="44">
        <v>13886</v>
      </c>
      <c r="D55" s="153">
        <f t="shared" si="0"/>
        <v>0.86787500000000006</v>
      </c>
      <c r="E55" s="43">
        <v>24708.187691981781</v>
      </c>
      <c r="F55" s="140">
        <v>5.4698568101397882</v>
      </c>
    </row>
    <row r="56" spans="1:6">
      <c r="A56" s="149" t="s">
        <v>2962</v>
      </c>
      <c r="B56" s="144" t="s">
        <v>112</v>
      </c>
      <c r="C56" s="44">
        <v>13987</v>
      </c>
      <c r="D56" s="153">
        <f t="shared" si="0"/>
        <v>0.87418750000000001</v>
      </c>
      <c r="E56" s="43">
        <v>24894.840530323199</v>
      </c>
      <c r="F56" s="140">
        <v>5.3172791478770023</v>
      </c>
    </row>
    <row r="57" spans="1:6">
      <c r="A57" s="149" t="s">
        <v>2962</v>
      </c>
      <c r="B57" s="144" t="s">
        <v>113</v>
      </c>
      <c r="C57" s="44">
        <v>14082</v>
      </c>
      <c r="D57" s="153">
        <f t="shared" si="0"/>
        <v>0.88012500000000005</v>
      </c>
      <c r="E57" s="43">
        <v>25072.246601733917</v>
      </c>
      <c r="F57" s="140">
        <v>5.1734489572264692</v>
      </c>
    </row>
    <row r="58" spans="1:6">
      <c r="A58" s="149" t="s">
        <v>2962</v>
      </c>
      <c r="B58" s="144" t="s">
        <v>114</v>
      </c>
      <c r="C58" s="44">
        <v>14172</v>
      </c>
      <c r="D58" s="153">
        <f t="shared" si="0"/>
        <v>0.88575000000000004</v>
      </c>
      <c r="E58" s="43">
        <v>25241.987524198754</v>
      </c>
      <c r="F58" s="140">
        <v>5.0369014317105325</v>
      </c>
    </row>
    <row r="59" spans="1:6">
      <c r="A59" s="149" t="s">
        <v>2962</v>
      </c>
      <c r="B59" s="144" t="s">
        <v>115</v>
      </c>
      <c r="C59" s="44">
        <v>14258</v>
      </c>
      <c r="D59" s="153">
        <f t="shared" si="0"/>
        <v>0.89112500000000006</v>
      </c>
      <c r="E59" s="43">
        <v>25405.726634251754</v>
      </c>
      <c r="F59" s="140">
        <v>4.9061577298114116</v>
      </c>
    </row>
    <row r="60" spans="1:6">
      <c r="A60" s="149" t="s">
        <v>2962</v>
      </c>
      <c r="B60" s="144" t="s">
        <v>116</v>
      </c>
      <c r="C60" s="44">
        <v>14340</v>
      </c>
      <c r="D60" s="153">
        <f t="shared" si="0"/>
        <v>0.89624999999999999</v>
      </c>
      <c r="E60" s="43">
        <v>25563.273279791621</v>
      </c>
      <c r="F60" s="140">
        <v>4.7812507039079719</v>
      </c>
    </row>
    <row r="61" spans="1:6">
      <c r="A61" s="149" t="s">
        <v>2962</v>
      </c>
      <c r="B61" s="144" t="s">
        <v>117</v>
      </c>
      <c r="C61" s="44">
        <v>14418</v>
      </c>
      <c r="D61" s="153">
        <f t="shared" si="0"/>
        <v>0.90112500000000006</v>
      </c>
      <c r="E61" s="43">
        <v>25714.441416893733</v>
      </c>
      <c r="F61" s="140">
        <v>4.6622124086802046</v>
      </c>
    </row>
    <row r="62" spans="1:6">
      <c r="A62" s="149" t="s">
        <v>2962</v>
      </c>
      <c r="B62" s="144" t="s">
        <v>118</v>
      </c>
      <c r="C62" s="44">
        <v>14492</v>
      </c>
      <c r="D62" s="153">
        <f t="shared" si="0"/>
        <v>0.90575000000000006</v>
      </c>
      <c r="E62" s="43">
        <v>25859.050120376451</v>
      </c>
      <c r="F62" s="140">
        <v>4.549074006948274</v>
      </c>
    </row>
    <row r="63" spans="1:6">
      <c r="A63" s="149" t="s">
        <v>2962</v>
      </c>
      <c r="B63" s="144" t="s">
        <v>119</v>
      </c>
      <c r="C63" s="44">
        <v>14564</v>
      </c>
      <c r="D63" s="153">
        <f t="shared" si="0"/>
        <v>0.91025</v>
      </c>
      <c r="E63" s="43">
        <v>26000.878927708196</v>
      </c>
      <c r="F63" s="140">
        <v>4.4387999122962469</v>
      </c>
    </row>
    <row r="64" spans="1:6">
      <c r="A64" s="149" t="s">
        <v>2962</v>
      </c>
      <c r="B64" s="144" t="s">
        <v>120</v>
      </c>
      <c r="C64" s="44">
        <v>14632</v>
      </c>
      <c r="D64" s="153">
        <f t="shared" si="0"/>
        <v>0.91449999999999998</v>
      </c>
      <c r="E64" s="43">
        <v>26135.862373180415</v>
      </c>
      <c r="F64" s="140">
        <v>4.334474967569065</v>
      </c>
    </row>
    <row r="65" spans="1:6">
      <c r="A65" s="149" t="s">
        <v>2962</v>
      </c>
      <c r="B65" s="144" t="s">
        <v>121</v>
      </c>
      <c r="C65" s="44">
        <v>14697</v>
      </c>
      <c r="D65" s="153">
        <f t="shared" si="0"/>
        <v>0.91856250000000006</v>
      </c>
      <c r="E65" s="43">
        <v>26265.840296607825</v>
      </c>
      <c r="F65" s="140">
        <v>4.2345899693742695</v>
      </c>
    </row>
    <row r="66" spans="1:6">
      <c r="A66" s="149" t="s">
        <v>2962</v>
      </c>
      <c r="B66" s="144" t="s">
        <v>122</v>
      </c>
      <c r="C66" s="44">
        <v>14759</v>
      </c>
      <c r="D66" s="153">
        <f t="shared" si="0"/>
        <v>0.92243750000000002</v>
      </c>
      <c r="E66" s="43">
        <v>26390.693542117831</v>
      </c>
      <c r="F66" s="140">
        <v>4.1391654216267852</v>
      </c>
    </row>
    <row r="67" spans="1:6">
      <c r="A67" s="149" t="s">
        <v>2962</v>
      </c>
      <c r="B67" s="144" t="s">
        <v>123</v>
      </c>
      <c r="C67" s="44">
        <v>14819</v>
      </c>
      <c r="D67" s="153">
        <f t="shared" si="0"/>
        <v>0.92618750000000005</v>
      </c>
      <c r="E67" s="43">
        <v>26512.34052036325</v>
      </c>
      <c r="F67" s="140">
        <v>4.0466786320856727</v>
      </c>
    </row>
    <row r="68" spans="1:6">
      <c r="A68" s="149" t="s">
        <v>2962</v>
      </c>
      <c r="B68" s="144" t="s">
        <v>124</v>
      </c>
      <c r="C68" s="44">
        <v>14877</v>
      </c>
      <c r="D68" s="153">
        <f t="shared" si="0"/>
        <v>0.92981250000000004</v>
      </c>
      <c r="E68" s="43">
        <v>26630.708177295848</v>
      </c>
      <c r="F68" s="140">
        <v>3.9571421866941705</v>
      </c>
    </row>
    <row r="69" spans="1:6">
      <c r="A69" s="149" t="s">
        <v>2962</v>
      </c>
      <c r="B69" s="144" t="s">
        <v>125</v>
      </c>
      <c r="C69" s="44">
        <v>14932</v>
      </c>
      <c r="D69" s="153">
        <f t="shared" si="0"/>
        <v>0.93325000000000002</v>
      </c>
      <c r="E69" s="43">
        <v>26743.664498766539</v>
      </c>
      <c r="F69" s="140">
        <v>3.8721154882136375</v>
      </c>
    </row>
    <row r="70" spans="1:6">
      <c r="A70" s="149" t="s">
        <v>2962</v>
      </c>
      <c r="B70" s="144" t="s">
        <v>126</v>
      </c>
      <c r="C70" s="44">
        <v>14985</v>
      </c>
      <c r="D70" s="153">
        <f t="shared" si="0"/>
        <v>0.93656249999999996</v>
      </c>
      <c r="E70" s="43">
        <v>26853.174380025866</v>
      </c>
      <c r="F70" s="140">
        <v>3.7900678523062084</v>
      </c>
    </row>
    <row r="71" spans="1:6">
      <c r="A71" s="149" t="s">
        <v>2962</v>
      </c>
      <c r="B71" s="144" t="s">
        <v>127</v>
      </c>
      <c r="C71" s="44">
        <v>15036</v>
      </c>
      <c r="D71" s="153">
        <f t="shared" ref="D71:D134" si="1">C71/32768*4.096/2</f>
        <v>0.93974999999999997</v>
      </c>
      <c r="E71" s="43">
        <v>26959.169862395669</v>
      </c>
      <c r="F71" s="140">
        <v>3.7110109524056725</v>
      </c>
    </row>
    <row r="72" spans="1:6">
      <c r="A72" s="149" t="s">
        <v>2962</v>
      </c>
      <c r="B72" s="144" t="s">
        <v>128</v>
      </c>
      <c r="C72" s="44">
        <v>15084</v>
      </c>
      <c r="D72" s="153">
        <f t="shared" si="1"/>
        <v>0.94274999999999998</v>
      </c>
      <c r="E72" s="43">
        <v>27059.488803438137</v>
      </c>
      <c r="F72" s="140">
        <v>3.6365092829187233</v>
      </c>
    </row>
    <row r="73" spans="1:6">
      <c r="A73" s="149" t="s">
        <v>2962</v>
      </c>
      <c r="B73" s="144" t="s">
        <v>129</v>
      </c>
      <c r="C73" s="44">
        <v>15132</v>
      </c>
      <c r="D73" s="153">
        <f t="shared" si="1"/>
        <v>0.94574999999999998</v>
      </c>
      <c r="E73" s="43">
        <v>27160.353821728284</v>
      </c>
      <c r="F73" s="140">
        <v>3.5619146196841029</v>
      </c>
    </row>
    <row r="74" spans="1:6">
      <c r="A74" s="149" t="s">
        <v>2962</v>
      </c>
      <c r="B74" s="144" t="s">
        <v>130</v>
      </c>
      <c r="C74" s="44">
        <v>15177</v>
      </c>
      <c r="D74" s="153">
        <f t="shared" si="1"/>
        <v>0.94856249999999998</v>
      </c>
      <c r="E74" s="43">
        <v>27255.414700699221</v>
      </c>
      <c r="F74" s="140">
        <v>3.4918970495658073</v>
      </c>
    </row>
    <row r="75" spans="1:6">
      <c r="A75" s="149" t="s">
        <v>2962</v>
      </c>
      <c r="B75" s="144" t="s">
        <v>131</v>
      </c>
      <c r="C75" s="44">
        <v>15221</v>
      </c>
      <c r="D75" s="153">
        <f t="shared" si="1"/>
        <v>0.95131250000000001</v>
      </c>
      <c r="E75" s="43">
        <v>27348.834558614009</v>
      </c>
      <c r="F75" s="140">
        <v>3.4233552564597858</v>
      </c>
    </row>
    <row r="76" spans="1:6">
      <c r="A76" s="149" t="s">
        <v>2962</v>
      </c>
      <c r="B76" s="144" t="s">
        <v>132</v>
      </c>
      <c r="C76" s="44">
        <v>15263</v>
      </c>
      <c r="D76" s="153">
        <f t="shared" si="1"/>
        <v>0.95393749999999999</v>
      </c>
      <c r="E76" s="43">
        <v>27438.446158240502</v>
      </c>
      <c r="F76" s="140">
        <v>3.3578545533357556</v>
      </c>
    </row>
    <row r="77" spans="1:6">
      <c r="A77" s="149" t="s">
        <v>2962</v>
      </c>
      <c r="B77" s="144" t="s">
        <v>133</v>
      </c>
      <c r="C77" s="44">
        <v>15304</v>
      </c>
      <c r="D77" s="153">
        <f t="shared" si="1"/>
        <v>0.95650000000000002</v>
      </c>
      <c r="E77" s="43">
        <v>27526.339899221257</v>
      </c>
      <c r="F77" s="140">
        <v>3.2938427922179017</v>
      </c>
    </row>
    <row r="78" spans="1:6">
      <c r="A78" s="149" t="s">
        <v>2962</v>
      </c>
      <c r="B78" s="144" t="s">
        <v>134</v>
      </c>
      <c r="C78" s="44">
        <v>15344</v>
      </c>
      <c r="D78" s="153">
        <f t="shared" si="1"/>
        <v>0.95900000000000007</v>
      </c>
      <c r="E78" s="43">
        <v>27612.488521579431</v>
      </c>
      <c r="F78" s="140">
        <v>3.2313246497257069</v>
      </c>
    </row>
    <row r="79" spans="1:6">
      <c r="A79" s="149" t="s">
        <v>2962</v>
      </c>
      <c r="B79" s="144" t="s">
        <v>135</v>
      </c>
      <c r="C79" s="44">
        <v>15382</v>
      </c>
      <c r="D79" s="153">
        <f t="shared" si="1"/>
        <v>0.96137499999999998</v>
      </c>
      <c r="E79" s="43">
        <v>27694.696882549179</v>
      </c>
      <c r="F79" s="140">
        <v>3.1718701527037183</v>
      </c>
    </row>
    <row r="80" spans="1:6">
      <c r="A80" s="149" t="s">
        <v>2962</v>
      </c>
      <c r="B80" s="144" t="s">
        <v>136</v>
      </c>
      <c r="C80" s="44">
        <v>15419</v>
      </c>
      <c r="D80" s="153">
        <f t="shared" si="1"/>
        <v>0.96368750000000003</v>
      </c>
      <c r="E80" s="43">
        <v>27775.087901319959</v>
      </c>
      <c r="F80" s="140">
        <v>3.113921610324951</v>
      </c>
    </row>
    <row r="81" spans="1:6">
      <c r="A81" s="149" t="s">
        <v>2962</v>
      </c>
      <c r="B81" s="144" t="s">
        <v>137</v>
      </c>
      <c r="C81" s="44">
        <v>15455</v>
      </c>
      <c r="D81" s="153">
        <f t="shared" si="1"/>
        <v>0.9659375</v>
      </c>
      <c r="E81" s="43">
        <v>27853.635996072317</v>
      </c>
      <c r="F81" s="140">
        <v>3.0574833956675889</v>
      </c>
    </row>
    <row r="82" spans="1:6">
      <c r="A82" s="149" t="s">
        <v>2962</v>
      </c>
      <c r="B82" s="144" t="s">
        <v>138</v>
      </c>
      <c r="C82" s="44">
        <v>15489</v>
      </c>
      <c r="D82" s="153">
        <f t="shared" si="1"/>
        <v>0.96806250000000005</v>
      </c>
      <c r="E82" s="43">
        <v>27928.120840326406</v>
      </c>
      <c r="F82" s="140">
        <v>3.00412977963299</v>
      </c>
    </row>
    <row r="83" spans="1:6">
      <c r="A83" s="149" t="s">
        <v>2962</v>
      </c>
      <c r="B83" s="144" t="s">
        <v>139</v>
      </c>
      <c r="C83" s="44">
        <v>15523</v>
      </c>
      <c r="D83" s="153">
        <f t="shared" si="1"/>
        <v>0.97018749999999998</v>
      </c>
      <c r="E83" s="43">
        <v>28002.899391127863</v>
      </c>
      <c r="F83" s="140">
        <v>2.9507264940808113</v>
      </c>
    </row>
    <row r="84" spans="1:6">
      <c r="A84" s="149" t="s">
        <v>2962</v>
      </c>
      <c r="B84" s="144" t="s">
        <v>140</v>
      </c>
      <c r="C84" s="44">
        <v>15555</v>
      </c>
      <c r="D84" s="153">
        <f t="shared" si="1"/>
        <v>0.97218749999999998</v>
      </c>
      <c r="E84" s="43">
        <v>28073.54906175565</v>
      </c>
      <c r="F84" s="140">
        <v>2.9004189716030169</v>
      </c>
    </row>
    <row r="85" spans="1:6">
      <c r="A85" s="149" t="s">
        <v>2962</v>
      </c>
      <c r="B85" s="144" t="s">
        <v>141</v>
      </c>
      <c r="C85" s="44">
        <v>15586</v>
      </c>
      <c r="D85" s="153">
        <f t="shared" si="1"/>
        <v>0.97412500000000002</v>
      </c>
      <c r="E85" s="43">
        <v>28142.241881038295</v>
      </c>
      <c r="F85" s="140">
        <v>2.8516411752351587</v>
      </c>
    </row>
    <row r="86" spans="1:6">
      <c r="A86" s="149" t="s">
        <v>2962</v>
      </c>
      <c r="B86" s="144" t="s">
        <v>142</v>
      </c>
      <c r="C86" s="44">
        <v>15617</v>
      </c>
      <c r="D86" s="153">
        <f t="shared" si="1"/>
        <v>0.97606250000000006</v>
      </c>
      <c r="E86" s="43">
        <v>28211.18302139817</v>
      </c>
      <c r="F86" s="140">
        <v>2.8028214656926593</v>
      </c>
    </row>
    <row r="87" spans="1:6">
      <c r="A87" s="149" t="s">
        <v>2962</v>
      </c>
      <c r="B87" s="144" t="s">
        <v>143</v>
      </c>
      <c r="C87" s="44">
        <v>15646</v>
      </c>
      <c r="D87" s="153">
        <f t="shared" si="1"/>
        <v>0.97787500000000005</v>
      </c>
      <c r="E87" s="43">
        <v>28275.902347856558</v>
      </c>
      <c r="F87" s="140">
        <v>2.7571132927112103</v>
      </c>
    </row>
    <row r="88" spans="1:6">
      <c r="A88" s="149" t="s">
        <v>2962</v>
      </c>
      <c r="B88" s="144" t="s">
        <v>144</v>
      </c>
      <c r="C88" s="44">
        <v>15674</v>
      </c>
      <c r="D88" s="153">
        <f t="shared" si="1"/>
        <v>0.97962499999999997</v>
      </c>
      <c r="E88" s="43">
        <v>28338.598338598338</v>
      </c>
      <c r="F88" s="140">
        <v>2.7129461379943791</v>
      </c>
    </row>
    <row r="89" spans="1:6">
      <c r="A89" s="149" t="s">
        <v>2962</v>
      </c>
      <c r="B89" s="144" t="s">
        <v>145</v>
      </c>
      <c r="C89" s="44">
        <v>15702</v>
      </c>
      <c r="D89" s="153">
        <f t="shared" si="1"/>
        <v>0.981375</v>
      </c>
      <c r="E89" s="43">
        <v>28401.500058596041</v>
      </c>
      <c r="F89" s="140">
        <v>2.6687443228640859</v>
      </c>
    </row>
    <row r="90" spans="1:6">
      <c r="A90" s="149" t="s">
        <v>2962</v>
      </c>
      <c r="B90" s="144" t="s">
        <v>146</v>
      </c>
      <c r="C90" s="44">
        <v>15729</v>
      </c>
      <c r="D90" s="153">
        <f t="shared" si="1"/>
        <v>0.98306250000000006</v>
      </c>
      <c r="E90" s="43">
        <v>28462.351076941137</v>
      </c>
      <c r="F90" s="140">
        <v>2.626088178021007</v>
      </c>
    </row>
    <row r="91" spans="1:6">
      <c r="A91" s="149" t="s">
        <v>2962</v>
      </c>
      <c r="B91" s="144" t="s">
        <v>147</v>
      </c>
      <c r="C91" s="44">
        <v>15755</v>
      </c>
      <c r="D91" s="153">
        <f t="shared" si="1"/>
        <v>0.98468750000000005</v>
      </c>
      <c r="E91" s="43">
        <v>28521.130899900076</v>
      </c>
      <c r="F91" s="140">
        <v>2.5849811722098934</v>
      </c>
    </row>
    <row r="92" spans="1:6">
      <c r="A92" s="149" t="s">
        <v>2962</v>
      </c>
      <c r="B92" s="144" t="s">
        <v>148</v>
      </c>
      <c r="C92" s="44">
        <v>15780</v>
      </c>
      <c r="D92" s="153">
        <f t="shared" si="1"/>
        <v>0.98625000000000007</v>
      </c>
      <c r="E92" s="43">
        <v>28577.819637391098</v>
      </c>
      <c r="F92" s="140">
        <v>2.5454266688623193</v>
      </c>
    </row>
    <row r="93" spans="1:6">
      <c r="A93" s="149" t="s">
        <v>2962</v>
      </c>
      <c r="B93" s="144" t="s">
        <v>149</v>
      </c>
      <c r="C93" s="44">
        <v>15805</v>
      </c>
      <c r="D93" s="153">
        <f t="shared" si="1"/>
        <v>0.98781249999999998</v>
      </c>
      <c r="E93" s="43">
        <v>28634.675470140894</v>
      </c>
      <c r="F93" s="140">
        <v>2.5058440794035732</v>
      </c>
    </row>
    <row r="94" spans="1:6">
      <c r="A94" s="149" t="s">
        <v>2962</v>
      </c>
      <c r="B94" s="144" t="s">
        <v>150</v>
      </c>
      <c r="C94" s="44">
        <v>15828</v>
      </c>
      <c r="D94" s="153">
        <f t="shared" si="1"/>
        <v>0.98925000000000007</v>
      </c>
      <c r="E94" s="43">
        <v>28687.131050767413</v>
      </c>
      <c r="F94" s="140">
        <v>2.4694031982676279</v>
      </c>
    </row>
    <row r="95" spans="1:6">
      <c r="A95" s="149" t="s">
        <v>2962</v>
      </c>
      <c r="B95" s="144" t="s">
        <v>151</v>
      </c>
      <c r="C95" s="44">
        <v>15852</v>
      </c>
      <c r="D95" s="153">
        <f t="shared" si="1"/>
        <v>0.99075000000000002</v>
      </c>
      <c r="E95" s="43">
        <v>28742.019389926696</v>
      </c>
      <c r="F95" s="140">
        <v>2.4313523966300181</v>
      </c>
    </row>
    <row r="96" spans="1:6">
      <c r="A96" s="149" t="s">
        <v>2962</v>
      </c>
      <c r="B96" s="144" t="s">
        <v>152</v>
      </c>
      <c r="C96" s="44">
        <v>15874</v>
      </c>
      <c r="D96" s="153">
        <f t="shared" si="1"/>
        <v>0.99212500000000003</v>
      </c>
      <c r="E96" s="43">
        <v>28792.470699656682</v>
      </c>
      <c r="F96" s="140">
        <v>2.3964495053080554</v>
      </c>
    </row>
    <row r="97" spans="1:6">
      <c r="A97" s="149" t="s">
        <v>2962</v>
      </c>
      <c r="B97" s="144" t="s">
        <v>153</v>
      </c>
      <c r="C97" s="44">
        <v>15896</v>
      </c>
      <c r="D97" s="153">
        <f t="shared" si="1"/>
        <v>0.99350000000000005</v>
      </c>
      <c r="E97" s="43">
        <v>28843.053579895684</v>
      </c>
      <c r="F97" s="140">
        <v>2.3615245467869386</v>
      </c>
    </row>
    <row r="98" spans="1:6">
      <c r="A98" s="149" t="s">
        <v>2962</v>
      </c>
      <c r="B98" s="144" t="s">
        <v>154</v>
      </c>
      <c r="C98" s="44">
        <v>15918</v>
      </c>
      <c r="D98" s="153">
        <f t="shared" si="1"/>
        <v>0.99487500000000006</v>
      </c>
      <c r="E98" s="43">
        <v>28893.768545994066</v>
      </c>
      <c r="F98" s="140">
        <v>2.3265774461336264</v>
      </c>
    </row>
    <row r="99" spans="1:6">
      <c r="A99" s="149" t="s">
        <v>2962</v>
      </c>
      <c r="B99" s="144" t="s">
        <v>155</v>
      </c>
      <c r="C99" s="44">
        <v>15939</v>
      </c>
      <c r="D99" s="153">
        <f t="shared" si="1"/>
        <v>0.9961875</v>
      </c>
      <c r="E99" s="43">
        <v>28942.301978727199</v>
      </c>
      <c r="F99" s="140">
        <v>2.29319812566564</v>
      </c>
    </row>
    <row r="100" spans="1:6">
      <c r="A100" s="149" t="s">
        <v>2962</v>
      </c>
      <c r="B100" s="144" t="s">
        <v>156</v>
      </c>
      <c r="C100" s="44">
        <v>15959</v>
      </c>
      <c r="D100" s="153">
        <f t="shared" si="1"/>
        <v>0.99743749999999998</v>
      </c>
      <c r="E100" s="43">
        <v>28988.637039681122</v>
      </c>
      <c r="F100" s="140">
        <v>2.261389416162217</v>
      </c>
    </row>
    <row r="101" spans="1:6">
      <c r="A101" s="149" t="s">
        <v>2962</v>
      </c>
      <c r="B101" s="144" t="s">
        <v>157</v>
      </c>
      <c r="C101" s="44">
        <v>15978</v>
      </c>
      <c r="D101" s="153">
        <f t="shared" si="1"/>
        <v>0.99862499999999998</v>
      </c>
      <c r="E101" s="43">
        <v>29032.757593805836</v>
      </c>
      <c r="F101" s="140">
        <v>2.231154027959235</v>
      </c>
    </row>
    <row r="102" spans="1:6">
      <c r="A102" s="149" t="s">
        <v>2962</v>
      </c>
      <c r="B102" s="144" t="s">
        <v>158</v>
      </c>
      <c r="C102" s="44">
        <v>15998</v>
      </c>
      <c r="D102" s="153">
        <f t="shared" si="1"/>
        <v>0.99987500000000007</v>
      </c>
      <c r="E102" s="43">
        <v>29079.308288610613</v>
      </c>
      <c r="F102" s="140">
        <v>2.1993092339342297</v>
      </c>
    </row>
    <row r="103" spans="1:6">
      <c r="A103" s="149" t="s">
        <v>2962</v>
      </c>
      <c r="B103" s="144" t="s">
        <v>159</v>
      </c>
      <c r="C103" s="44">
        <v>16016</v>
      </c>
      <c r="D103" s="153">
        <f t="shared" si="1"/>
        <v>1.0010000000000001</v>
      </c>
      <c r="E103" s="43">
        <v>29121.298949379183</v>
      </c>
      <c r="F103" s="140">
        <v>2.1706330271979368</v>
      </c>
    </row>
    <row r="104" spans="1:6">
      <c r="A104" s="149" t="s">
        <v>2962</v>
      </c>
      <c r="B104" s="144" t="s">
        <v>160</v>
      </c>
      <c r="C104" s="44">
        <v>16034</v>
      </c>
      <c r="D104" s="153">
        <f t="shared" si="1"/>
        <v>1.0021249999999999</v>
      </c>
      <c r="E104" s="43">
        <v>29163.379945022112</v>
      </c>
      <c r="F104" s="140">
        <v>2.1419417214017926</v>
      </c>
    </row>
    <row r="105" spans="1:6">
      <c r="A105" s="149" t="s">
        <v>2962</v>
      </c>
      <c r="B105" s="144" t="s">
        <v>161</v>
      </c>
      <c r="C105" s="44">
        <v>16052</v>
      </c>
      <c r="D105" s="153">
        <f t="shared" si="1"/>
        <v>1.00325</v>
      </c>
      <c r="E105" s="43">
        <v>29205.551567360613</v>
      </c>
      <c r="F105" s="140">
        <v>2.1132352746007541</v>
      </c>
    </row>
    <row r="106" spans="1:6">
      <c r="A106" s="149" t="s">
        <v>2962</v>
      </c>
      <c r="B106" s="144" t="s">
        <v>162</v>
      </c>
      <c r="C106" s="44">
        <v>16069</v>
      </c>
      <c r="D106" s="153">
        <f t="shared" si="1"/>
        <v>1.0043124999999999</v>
      </c>
      <c r="E106" s="43">
        <v>29245.463800227557</v>
      </c>
      <c r="F106" s="140">
        <v>2.086109689873183</v>
      </c>
    </row>
    <row r="107" spans="1:6">
      <c r="A107" s="149" t="s">
        <v>2962</v>
      </c>
      <c r="B107" s="144" t="s">
        <v>163</v>
      </c>
      <c r="C107" s="44">
        <v>16086</v>
      </c>
      <c r="D107" s="153">
        <f t="shared" si="1"/>
        <v>1.0053750000000001</v>
      </c>
      <c r="E107" s="43">
        <v>29285.45737921113</v>
      </c>
      <c r="F107" s="140">
        <v>2.0589705266916667</v>
      </c>
    </row>
    <row r="108" spans="1:6">
      <c r="A108" s="149" t="s">
        <v>2962</v>
      </c>
      <c r="B108" s="144" t="s">
        <v>164</v>
      </c>
      <c r="C108" s="44">
        <v>16103</v>
      </c>
      <c r="D108" s="153">
        <f t="shared" si="1"/>
        <v>1.0064375000000001</v>
      </c>
      <c r="E108" s="43">
        <v>29325.532553255332</v>
      </c>
      <c r="F108" s="140">
        <v>2.0318177494287397</v>
      </c>
    </row>
    <row r="109" spans="1:6">
      <c r="A109" s="149" t="s">
        <v>2962</v>
      </c>
      <c r="B109" s="144" t="s">
        <v>165</v>
      </c>
      <c r="C109" s="44">
        <v>16118</v>
      </c>
      <c r="D109" s="153">
        <f t="shared" si="1"/>
        <v>1.0073750000000001</v>
      </c>
      <c r="E109" s="43">
        <v>29360.960960960965</v>
      </c>
      <c r="F109" s="140">
        <v>2.0078480822375013</v>
      </c>
    </row>
    <row r="110" spans="1:6">
      <c r="A110" s="149" t="s">
        <v>2962</v>
      </c>
      <c r="B110" s="144" t="s">
        <v>166</v>
      </c>
      <c r="C110" s="44">
        <v>16134</v>
      </c>
      <c r="D110" s="153">
        <f t="shared" si="1"/>
        <v>1.008375</v>
      </c>
      <c r="E110" s="43">
        <v>29398.821690513407</v>
      </c>
      <c r="F110" s="140">
        <v>1.9822686961873046</v>
      </c>
    </row>
    <row r="111" spans="1:6">
      <c r="A111" s="149" t="s">
        <v>2962</v>
      </c>
      <c r="B111" s="144" t="s">
        <v>167</v>
      </c>
      <c r="C111" s="44">
        <v>16149</v>
      </c>
      <c r="D111" s="153">
        <f t="shared" si="1"/>
        <v>1.0093125000000001</v>
      </c>
      <c r="E111" s="43">
        <v>29434.382333473735</v>
      </c>
      <c r="F111" s="140">
        <v>1.958276988483874</v>
      </c>
    </row>
    <row r="112" spans="1:6">
      <c r="A112" s="149" t="s">
        <v>2962</v>
      </c>
      <c r="B112" s="144" t="s">
        <v>168</v>
      </c>
      <c r="C112" s="44">
        <v>16164</v>
      </c>
      <c r="D112" s="153">
        <f t="shared" si="1"/>
        <v>1.0102500000000001</v>
      </c>
      <c r="E112" s="43">
        <v>29470.007227174181</v>
      </c>
      <c r="F112" s="140">
        <v>1.9342745781402186</v>
      </c>
    </row>
    <row r="113" spans="1:6">
      <c r="A113" s="149" t="s">
        <v>2962</v>
      </c>
      <c r="B113" s="144" t="s">
        <v>169</v>
      </c>
      <c r="C113" s="44">
        <v>16178</v>
      </c>
      <c r="D113" s="153">
        <f t="shared" si="1"/>
        <v>1.0111250000000001</v>
      </c>
      <c r="E113" s="43">
        <v>29503.315250150692</v>
      </c>
      <c r="F113" s="140">
        <v>1.9118626504656504</v>
      </c>
    </row>
    <row r="114" spans="1:6">
      <c r="A114" s="149" t="s">
        <v>2962</v>
      </c>
      <c r="B114" s="144" t="s">
        <v>170</v>
      </c>
      <c r="C114" s="44">
        <v>16192</v>
      </c>
      <c r="D114" s="153">
        <f t="shared" si="1"/>
        <v>1.012</v>
      </c>
      <c r="E114" s="43">
        <v>29536.679536679538</v>
      </c>
      <c r="F114" s="140">
        <v>1.8894413578208287</v>
      </c>
    </row>
    <row r="115" spans="1:6">
      <c r="A115" s="149" t="s">
        <v>2962</v>
      </c>
      <c r="B115" s="144" t="s">
        <v>171</v>
      </c>
      <c r="C115" s="44">
        <v>16206</v>
      </c>
      <c r="D115" s="153">
        <f t="shared" si="1"/>
        <v>1.012875</v>
      </c>
      <c r="E115" s="43">
        <v>29570.10022944089</v>
      </c>
      <c r="F115" s="140">
        <v>1.8670106799664268</v>
      </c>
    </row>
    <row r="116" spans="1:6">
      <c r="A116" s="149" t="s">
        <v>2962</v>
      </c>
      <c r="B116" s="144" t="s">
        <v>172</v>
      </c>
      <c r="C116" s="44">
        <v>16219</v>
      </c>
      <c r="D116" s="153">
        <f t="shared" si="1"/>
        <v>1.0136875000000001</v>
      </c>
      <c r="E116" s="43">
        <v>29601.184361592845</v>
      </c>
      <c r="F116" s="140">
        <v>1.8461737720642191</v>
      </c>
    </row>
    <row r="117" spans="1:6">
      <c r="A117" s="149" t="s">
        <v>2962</v>
      </c>
      <c r="B117" s="144" t="s">
        <v>173</v>
      </c>
      <c r="C117" s="44">
        <v>16232</v>
      </c>
      <c r="D117" s="153">
        <f t="shared" si="1"/>
        <v>1.0145</v>
      </c>
      <c r="E117" s="43">
        <v>29632.317368166423</v>
      </c>
      <c r="F117" s="140">
        <v>1.8253287380474603</v>
      </c>
    </row>
    <row r="118" spans="1:6">
      <c r="A118" s="149" t="s">
        <v>2962</v>
      </c>
      <c r="B118" s="144" t="s">
        <v>174</v>
      </c>
      <c r="C118" s="44">
        <v>16245</v>
      </c>
      <c r="D118" s="153">
        <f t="shared" si="1"/>
        <v>1.0153125000000001</v>
      </c>
      <c r="E118" s="43">
        <v>29663.49936452218</v>
      </c>
      <c r="F118" s="140">
        <v>1.8044755616065231</v>
      </c>
    </row>
    <row r="119" spans="1:6">
      <c r="A119" s="149" t="s">
        <v>2962</v>
      </c>
      <c r="B119" s="144" t="s">
        <v>175</v>
      </c>
      <c r="C119" s="44">
        <v>16257</v>
      </c>
      <c r="D119" s="153">
        <f t="shared" si="1"/>
        <v>1.0160625000000001</v>
      </c>
      <c r="E119" s="43">
        <v>29692.326327902611</v>
      </c>
      <c r="F119" s="140">
        <v>1.7852192345238791</v>
      </c>
    </row>
    <row r="120" spans="1:6">
      <c r="A120" s="149" t="s">
        <v>2962</v>
      </c>
      <c r="B120" s="144" t="s">
        <v>176</v>
      </c>
      <c r="C120" s="44">
        <v>16269</v>
      </c>
      <c r="D120" s="153">
        <f t="shared" si="1"/>
        <v>1.0168125000000001</v>
      </c>
      <c r="E120" s="43">
        <v>29721.195223952971</v>
      </c>
      <c r="F120" s="140">
        <v>1.7659559427124805</v>
      </c>
    </row>
    <row r="121" spans="1:6">
      <c r="A121" s="149" t="s">
        <v>2962</v>
      </c>
      <c r="B121" s="144" t="s">
        <v>177</v>
      </c>
      <c r="C121" s="44">
        <v>16281</v>
      </c>
      <c r="D121" s="153">
        <f t="shared" si="1"/>
        <v>1.0175624999999999</v>
      </c>
      <c r="E121" s="43">
        <v>29750.106144234851</v>
      </c>
      <c r="F121" s="140">
        <v>1.7466856732672795</v>
      </c>
    </row>
    <row r="122" spans="1:6">
      <c r="A122" s="149" t="s">
        <v>2962</v>
      </c>
      <c r="B122" s="144" t="s">
        <v>178</v>
      </c>
      <c r="C122" s="44">
        <v>16292</v>
      </c>
      <c r="D122" s="153">
        <f t="shared" si="1"/>
        <v>1.0182500000000001</v>
      </c>
      <c r="E122" s="43">
        <v>29776.64481670309</v>
      </c>
      <c r="F122" s="140">
        <v>1.7290151189094445</v>
      </c>
    </row>
    <row r="123" spans="1:6">
      <c r="A123" s="149" t="s">
        <v>2962</v>
      </c>
      <c r="B123" s="144" t="s">
        <v>179</v>
      </c>
      <c r="C123" s="44">
        <v>16304</v>
      </c>
      <c r="D123" s="153">
        <f t="shared" si="1"/>
        <v>1.0190000000000001</v>
      </c>
      <c r="E123" s="43">
        <v>29805.636540330423</v>
      </c>
      <c r="F123" s="140">
        <v>1.7097314395051058</v>
      </c>
    </row>
    <row r="124" spans="1:6">
      <c r="A124" s="149" t="s">
        <v>2962</v>
      </c>
      <c r="B124" s="144" t="s">
        <v>180</v>
      </c>
      <c r="C124" s="44">
        <v>16315</v>
      </c>
      <c r="D124" s="153">
        <f t="shared" si="1"/>
        <v>1.0196875000000001</v>
      </c>
      <c r="E124" s="43">
        <v>29832.2494377925</v>
      </c>
      <c r="F124" s="140">
        <v>1.6920485708548654</v>
      </c>
    </row>
    <row r="125" spans="1:6">
      <c r="A125" s="149" t="s">
        <v>2962</v>
      </c>
      <c r="B125" s="144" t="s">
        <v>181</v>
      </c>
      <c r="C125" s="44">
        <v>16325</v>
      </c>
      <c r="D125" s="153">
        <f t="shared" si="1"/>
        <v>1.0203125</v>
      </c>
      <c r="E125" s="43">
        <v>29856.473879462385</v>
      </c>
      <c r="F125" s="140">
        <v>1.6759681118857657</v>
      </c>
    </row>
    <row r="126" spans="1:6">
      <c r="A126" s="149" t="s">
        <v>2962</v>
      </c>
      <c r="B126" s="144" t="s">
        <v>182</v>
      </c>
      <c r="C126" s="44">
        <v>16336</v>
      </c>
      <c r="D126" s="153">
        <f t="shared" si="1"/>
        <v>1.0210000000000001</v>
      </c>
      <c r="E126" s="43">
        <v>29883.154819863685</v>
      </c>
      <c r="F126" s="140">
        <v>1.6582739615190007</v>
      </c>
    </row>
    <row r="127" spans="1:6">
      <c r="A127" s="149" t="s">
        <v>2962</v>
      </c>
      <c r="B127" s="144" t="s">
        <v>183</v>
      </c>
      <c r="C127" s="44">
        <v>16346</v>
      </c>
      <c r="D127" s="153">
        <f t="shared" si="1"/>
        <v>1.021625</v>
      </c>
      <c r="E127" s="43">
        <v>29907.44123736451</v>
      </c>
      <c r="F127" s="140">
        <v>1.6421832298120194</v>
      </c>
    </row>
    <row r="128" spans="1:6">
      <c r="A128" s="149" t="s">
        <v>2962</v>
      </c>
      <c r="B128" s="144" t="s">
        <v>184</v>
      </c>
      <c r="C128" s="44">
        <v>16356</v>
      </c>
      <c r="D128" s="153">
        <f t="shared" si="1"/>
        <v>1.0222500000000001</v>
      </c>
      <c r="E128" s="43">
        <v>29931.75725079211</v>
      </c>
      <c r="F128" s="140">
        <v>1.6260875946110218</v>
      </c>
    </row>
    <row r="129" spans="1:6">
      <c r="A129" s="149" t="s">
        <v>2962</v>
      </c>
      <c r="B129" s="144" t="s">
        <v>185</v>
      </c>
      <c r="C129" s="44">
        <v>16365</v>
      </c>
      <c r="D129" s="153">
        <f t="shared" si="1"/>
        <v>1.0228125000000001</v>
      </c>
      <c r="E129" s="43">
        <v>29953.667012131933</v>
      </c>
      <c r="F129" s="140">
        <v>1.6115973241829238</v>
      </c>
    </row>
    <row r="130" spans="1:6">
      <c r="A130" s="149" t="s">
        <v>2962</v>
      </c>
      <c r="B130" s="144" t="s">
        <v>186</v>
      </c>
      <c r="C130" s="44">
        <v>16375</v>
      </c>
      <c r="D130" s="153">
        <f t="shared" si="1"/>
        <v>1.0234375</v>
      </c>
      <c r="E130" s="43">
        <v>29978.039407063992</v>
      </c>
      <c r="F130" s="140">
        <v>1.5954923514661914</v>
      </c>
    </row>
    <row r="131" spans="1:6">
      <c r="A131" s="149" t="s">
        <v>2962</v>
      </c>
      <c r="B131" s="144" t="s">
        <v>187</v>
      </c>
      <c r="C131" s="44">
        <v>16384</v>
      </c>
      <c r="D131" s="153">
        <f t="shared" si="1"/>
        <v>1.024</v>
      </c>
      <c r="E131" s="43">
        <v>30000</v>
      </c>
      <c r="F131" s="140">
        <v>1.5809936649415022</v>
      </c>
    </row>
    <row r="132" spans="1:6">
      <c r="A132" s="149" t="s">
        <v>2962</v>
      </c>
      <c r="B132" s="144" t="s">
        <v>188</v>
      </c>
      <c r="C132" s="44">
        <v>16393</v>
      </c>
      <c r="D132" s="153">
        <f t="shared" si="1"/>
        <v>1.0245625</v>
      </c>
      <c r="E132" s="43">
        <v>30021.984732824429</v>
      </c>
      <c r="F132" s="140">
        <v>1.5664909832207741</v>
      </c>
    </row>
    <row r="133" spans="1:6">
      <c r="A133" s="149" t="s">
        <v>2962</v>
      </c>
      <c r="B133" s="144" t="s">
        <v>189</v>
      </c>
      <c r="C133" s="44">
        <v>16401</v>
      </c>
      <c r="D133" s="153">
        <f t="shared" si="1"/>
        <v>1.0250625</v>
      </c>
      <c r="E133" s="43">
        <v>30041.547015335738</v>
      </c>
      <c r="F133" s="140">
        <v>1.5535963520977703</v>
      </c>
    </row>
    <row r="134" spans="1:6">
      <c r="A134" s="149" t="s">
        <v>2962</v>
      </c>
      <c r="B134" s="144" t="s">
        <v>190</v>
      </c>
      <c r="C134" s="44">
        <v>16410</v>
      </c>
      <c r="D134" s="153">
        <f t="shared" si="1"/>
        <v>1.025625</v>
      </c>
      <c r="E134" s="43">
        <v>30063.577454456536</v>
      </c>
      <c r="F134" s="140">
        <v>1.5390861087327607</v>
      </c>
    </row>
    <row r="135" spans="1:6">
      <c r="A135" s="149" t="s">
        <v>2962</v>
      </c>
      <c r="B135" s="144" t="s">
        <v>191</v>
      </c>
      <c r="C135" s="44">
        <v>16418</v>
      </c>
      <c r="D135" s="153">
        <f t="shared" ref="D135:D198" si="2">C135/32768*4.096/2</f>
        <v>1.026125</v>
      </c>
      <c r="E135" s="43">
        <v>30083.180428134558</v>
      </c>
      <c r="F135" s="140">
        <v>1.5261847473212242</v>
      </c>
    </row>
    <row r="136" spans="1:6">
      <c r="A136" s="149" t="s">
        <v>2962</v>
      </c>
      <c r="B136" s="144" t="s">
        <v>192</v>
      </c>
      <c r="C136" s="44">
        <v>16426</v>
      </c>
      <c r="D136" s="153">
        <f t="shared" si="2"/>
        <v>1.0266250000000001</v>
      </c>
      <c r="E136" s="43">
        <v>30102.802594541678</v>
      </c>
      <c r="F136" s="140">
        <v>1.5132802125968396</v>
      </c>
    </row>
    <row r="137" spans="1:6">
      <c r="A137" s="149" t="s">
        <v>2962</v>
      </c>
      <c r="B137" s="144" t="s">
        <v>193</v>
      </c>
      <c r="C137" s="44">
        <v>16434</v>
      </c>
      <c r="D137" s="153">
        <f t="shared" si="2"/>
        <v>1.0271250000000001</v>
      </c>
      <c r="E137" s="43">
        <v>30122.443981878292</v>
      </c>
      <c r="F137" s="140">
        <v>1.5003725006368995</v>
      </c>
    </row>
    <row r="138" spans="1:6">
      <c r="A138" s="149" t="s">
        <v>2962</v>
      </c>
      <c r="B138" s="144" t="s">
        <v>194</v>
      </c>
      <c r="C138" s="44">
        <v>16442</v>
      </c>
      <c r="D138" s="153">
        <f t="shared" si="2"/>
        <v>1.027625</v>
      </c>
      <c r="E138" s="43">
        <v>30142.104618400099</v>
      </c>
      <c r="F138" s="140">
        <v>1.4874616075135805</v>
      </c>
    </row>
    <row r="139" spans="1:6">
      <c r="A139" s="149" t="s">
        <v>2962</v>
      </c>
      <c r="B139" s="144" t="s">
        <v>195</v>
      </c>
      <c r="C139" s="44">
        <v>16450</v>
      </c>
      <c r="D139" s="153">
        <f t="shared" si="2"/>
        <v>1.028125</v>
      </c>
      <c r="E139" s="43">
        <v>30161.784532418187</v>
      </c>
      <c r="F139" s="140">
        <v>1.4745475292941137</v>
      </c>
    </row>
    <row r="140" spans="1:6">
      <c r="A140" s="149" t="s">
        <v>2962</v>
      </c>
      <c r="B140" s="144" t="s">
        <v>196</v>
      </c>
      <c r="C140" s="44">
        <v>16457</v>
      </c>
      <c r="D140" s="153">
        <f t="shared" si="2"/>
        <v>1.0285625</v>
      </c>
      <c r="E140" s="43">
        <v>30179.020293053767</v>
      </c>
      <c r="F140" s="140">
        <v>1.4632450949822555</v>
      </c>
    </row>
    <row r="141" spans="1:6">
      <c r="A141" s="149" t="s">
        <v>2962</v>
      </c>
      <c r="B141" s="144" t="s">
        <v>197</v>
      </c>
      <c r="C141" s="44">
        <v>16464</v>
      </c>
      <c r="D141" s="153">
        <f t="shared" si="2"/>
        <v>1.0289999999999999</v>
      </c>
      <c r="E141" s="43">
        <v>30196.270853778213</v>
      </c>
      <c r="F141" s="140">
        <v>1.4519402164247026</v>
      </c>
    </row>
    <row r="142" spans="1:6">
      <c r="A142" s="149" t="s">
        <v>2962</v>
      </c>
      <c r="B142" s="144" t="s">
        <v>198</v>
      </c>
      <c r="C142" s="44">
        <v>16472</v>
      </c>
      <c r="D142" s="153">
        <f t="shared" si="2"/>
        <v>1.0295000000000001</v>
      </c>
      <c r="E142" s="43">
        <v>30216.003927344133</v>
      </c>
      <c r="F142" s="140">
        <v>1.4390173588702169</v>
      </c>
    </row>
    <row r="143" spans="1:6">
      <c r="A143" s="149" t="s">
        <v>2962</v>
      </c>
      <c r="B143" s="144" t="s">
        <v>199</v>
      </c>
      <c r="C143" s="44">
        <v>16478</v>
      </c>
      <c r="D143" s="153">
        <f t="shared" si="2"/>
        <v>1.0298750000000001</v>
      </c>
      <c r="E143" s="43">
        <v>30230.816451810933</v>
      </c>
      <c r="F143" s="140">
        <v>1.4293231159927586</v>
      </c>
    </row>
    <row r="144" spans="1:6">
      <c r="A144" s="149" t="s">
        <v>2962</v>
      </c>
      <c r="B144" s="144" t="s">
        <v>200</v>
      </c>
      <c r="C144" s="44">
        <v>16485</v>
      </c>
      <c r="D144" s="153">
        <f t="shared" si="2"/>
        <v>1.0303125</v>
      </c>
      <c r="E144" s="43">
        <v>30248.111527359823</v>
      </c>
      <c r="F144" s="140">
        <v>1.4180108888203904</v>
      </c>
    </row>
    <row r="145" spans="1:6">
      <c r="A145" s="149" t="s">
        <v>2962</v>
      </c>
      <c r="B145" s="144" t="s">
        <v>201</v>
      </c>
      <c r="C145" s="44">
        <v>16492</v>
      </c>
      <c r="D145" s="153">
        <f t="shared" si="2"/>
        <v>1.0307500000000001</v>
      </c>
      <c r="E145" s="43">
        <v>30265.421479478988</v>
      </c>
      <c r="F145" s="140">
        <v>1.406696206807112</v>
      </c>
    </row>
    <row r="146" spans="1:6">
      <c r="A146" s="149" t="s">
        <v>2962</v>
      </c>
      <c r="B146" s="144" t="s">
        <v>202</v>
      </c>
      <c r="C146" s="44">
        <v>16498</v>
      </c>
      <c r="D146" s="153">
        <f t="shared" si="2"/>
        <v>1.0311250000000001</v>
      </c>
      <c r="E146" s="43">
        <v>30280.270436385985</v>
      </c>
      <c r="F146" s="140">
        <v>1.3969959520719613</v>
      </c>
    </row>
    <row r="147" spans="1:6">
      <c r="A147" s="149" t="s">
        <v>2962</v>
      </c>
      <c r="B147" s="144" t="s">
        <v>203</v>
      </c>
      <c r="C147" s="44">
        <v>16504</v>
      </c>
      <c r="D147" s="153">
        <f t="shared" si="2"/>
        <v>1.0315000000000001</v>
      </c>
      <c r="E147" s="43">
        <v>30295.130349237581</v>
      </c>
      <c r="F147" s="140">
        <v>1.3872938901538987</v>
      </c>
    </row>
    <row r="148" spans="1:6">
      <c r="A148" s="149" t="s">
        <v>2962</v>
      </c>
      <c r="B148" s="144" t="s">
        <v>204</v>
      </c>
      <c r="C148" s="44">
        <v>16511</v>
      </c>
      <c r="D148" s="153">
        <f t="shared" si="2"/>
        <v>1.0319375</v>
      </c>
      <c r="E148" s="43">
        <v>30312.480777511228</v>
      </c>
      <c r="F148" s="140">
        <v>1.3759725316013487</v>
      </c>
    </row>
    <row r="149" spans="1:6">
      <c r="A149" s="149" t="s">
        <v>2962</v>
      </c>
      <c r="B149" s="144" t="s">
        <v>205</v>
      </c>
      <c r="C149" s="44">
        <v>16517</v>
      </c>
      <c r="D149" s="153">
        <f t="shared" si="2"/>
        <v>1.0323125</v>
      </c>
      <c r="E149" s="43">
        <v>30327.364469878776</v>
      </c>
      <c r="F149" s="140">
        <v>1.3662665483676051</v>
      </c>
    </row>
    <row r="150" spans="1:6">
      <c r="A150" s="149" t="s">
        <v>2962</v>
      </c>
      <c r="B150" s="144" t="s">
        <v>206</v>
      </c>
      <c r="C150" s="44">
        <v>16523</v>
      </c>
      <c r="D150" s="153">
        <f t="shared" si="2"/>
        <v>1.0326875</v>
      </c>
      <c r="E150" s="43">
        <v>30342.259156663589</v>
      </c>
      <c r="F150" s="140">
        <v>1.3565587526371701</v>
      </c>
    </row>
    <row r="151" spans="1:6">
      <c r="A151" s="149" t="s">
        <v>2962</v>
      </c>
      <c r="B151" s="144" t="s">
        <v>207</v>
      </c>
      <c r="C151" s="44">
        <v>16528</v>
      </c>
      <c r="D151" s="153">
        <f t="shared" si="2"/>
        <v>1.0329999999999999</v>
      </c>
      <c r="E151" s="43">
        <v>30354.679802955667</v>
      </c>
      <c r="F151" s="140">
        <v>1.3484675371026924</v>
      </c>
    </row>
    <row r="152" spans="1:6">
      <c r="A152" s="149" t="s">
        <v>2962</v>
      </c>
      <c r="B152" s="144" t="s">
        <v>208</v>
      </c>
      <c r="C152" s="44">
        <v>16534</v>
      </c>
      <c r="D152" s="153">
        <f t="shared" si="2"/>
        <v>1.0333749999999999</v>
      </c>
      <c r="E152" s="43">
        <v>30369.594677836638</v>
      </c>
      <c r="F152" s="140">
        <v>1.338756414093325</v>
      </c>
    </row>
    <row r="153" spans="1:6">
      <c r="A153" s="149" t="s">
        <v>2962</v>
      </c>
      <c r="B153" s="144" t="s">
        <v>209</v>
      </c>
      <c r="C153" s="44">
        <v>16539</v>
      </c>
      <c r="D153" s="153">
        <f t="shared" si="2"/>
        <v>1.0336875000000001</v>
      </c>
      <c r="E153" s="43">
        <v>30382.032164643544</v>
      </c>
      <c r="F153" s="140">
        <v>1.330662423468425</v>
      </c>
    </row>
    <row r="154" spans="1:6">
      <c r="A154" s="149" t="s">
        <v>2962</v>
      </c>
      <c r="B154" s="144" t="s">
        <v>210</v>
      </c>
      <c r="C154" s="44">
        <v>16545</v>
      </c>
      <c r="D154" s="153">
        <f t="shared" si="2"/>
        <v>1.0340625000000001</v>
      </c>
      <c r="E154" s="43">
        <v>30396.967268692602</v>
      </c>
      <c r="F154" s="140">
        <v>1.320947967518407</v>
      </c>
    </row>
    <row r="155" spans="1:6">
      <c r="A155" s="149" t="s">
        <v>2962</v>
      </c>
      <c r="B155" s="144" t="s">
        <v>211</v>
      </c>
      <c r="C155" s="44">
        <v>16550</v>
      </c>
      <c r="D155" s="153">
        <f t="shared" si="2"/>
        <v>1.034375</v>
      </c>
      <c r="E155" s="43">
        <v>30409.421630287336</v>
      </c>
      <c r="F155" s="140">
        <v>1.3128511970807608</v>
      </c>
    </row>
    <row r="156" spans="1:6">
      <c r="A156" s="149" t="s">
        <v>2962</v>
      </c>
      <c r="B156" s="144" t="s">
        <v>212</v>
      </c>
      <c r="C156" s="44">
        <v>16555</v>
      </c>
      <c r="D156" s="153">
        <f t="shared" si="2"/>
        <v>1.0346875</v>
      </c>
      <c r="E156" s="43">
        <v>30421.883673595265</v>
      </c>
      <c r="F156" s="140">
        <v>1.3047531615285379</v>
      </c>
    </row>
    <row r="157" spans="1:6">
      <c r="A157" s="149" t="s">
        <v>2962</v>
      </c>
      <c r="B157" s="144" t="s">
        <v>213</v>
      </c>
      <c r="C157" s="44">
        <v>16560</v>
      </c>
      <c r="D157" s="153">
        <f t="shared" si="2"/>
        <v>1.0349999999999999</v>
      </c>
      <c r="E157" s="43">
        <v>30434.353405725567</v>
      </c>
      <c r="F157" s="140">
        <v>1.2966538598831789</v>
      </c>
    </row>
    <row r="158" spans="1:6">
      <c r="A158" s="149" t="s">
        <v>2962</v>
      </c>
      <c r="B158" s="144" t="s">
        <v>214</v>
      </c>
      <c r="C158" s="44">
        <v>16565</v>
      </c>
      <c r="D158" s="153">
        <f t="shared" si="2"/>
        <v>1.0353125000000001</v>
      </c>
      <c r="E158" s="43">
        <v>30446.830833796212</v>
      </c>
      <c r="F158" s="140">
        <v>1.2885532911659539</v>
      </c>
    </row>
    <row r="159" spans="1:6">
      <c r="A159" s="149" t="s">
        <v>2962</v>
      </c>
      <c r="B159" s="144" t="s">
        <v>215</v>
      </c>
      <c r="C159" s="44">
        <v>16570</v>
      </c>
      <c r="D159" s="153">
        <f t="shared" si="2"/>
        <v>1.035625</v>
      </c>
      <c r="E159" s="43">
        <v>30459.315964933943</v>
      </c>
      <c r="F159" s="140">
        <v>1.280451454396939</v>
      </c>
    </row>
    <row r="160" spans="1:6">
      <c r="A160" s="149" t="s">
        <v>2962</v>
      </c>
      <c r="B160" s="144" t="s">
        <v>216</v>
      </c>
      <c r="C160" s="44">
        <v>16574</v>
      </c>
      <c r="D160" s="153">
        <f t="shared" si="2"/>
        <v>1.0358750000000001</v>
      </c>
      <c r="E160" s="43">
        <v>30469.309620847234</v>
      </c>
      <c r="F160" s="140">
        <v>1.2739690713253253</v>
      </c>
    </row>
    <row r="161" spans="1:6">
      <c r="A161" s="149" t="s">
        <v>2962</v>
      </c>
      <c r="B161" s="144" t="s">
        <v>217</v>
      </c>
      <c r="C161" s="44">
        <v>16579</v>
      </c>
      <c r="D161" s="153">
        <f t="shared" si="2"/>
        <v>1.0361875</v>
      </c>
      <c r="E161" s="43">
        <v>30481.808635493235</v>
      </c>
      <c r="F161" s="140">
        <v>1.265864949591105</v>
      </c>
    </row>
    <row r="162" spans="1:6">
      <c r="A162" s="149" t="s">
        <v>2962</v>
      </c>
      <c r="B162" s="144" t="s">
        <v>218</v>
      </c>
      <c r="C162" s="44">
        <v>16583</v>
      </c>
      <c r="D162" s="153">
        <f t="shared" si="2"/>
        <v>1.0364375000000001</v>
      </c>
      <c r="E162" s="43">
        <v>30491.813407476064</v>
      </c>
      <c r="F162" s="140">
        <v>1.2593807372751371</v>
      </c>
    </row>
    <row r="163" spans="1:6">
      <c r="A163" s="149" t="s">
        <v>2962</v>
      </c>
      <c r="B163" s="144" t="s">
        <v>219</v>
      </c>
      <c r="C163" s="44">
        <v>16587</v>
      </c>
      <c r="D163" s="153">
        <f t="shared" si="2"/>
        <v>1.0366875</v>
      </c>
      <c r="E163" s="43">
        <v>30501.823125888386</v>
      </c>
      <c r="F163" s="140">
        <v>1.2528957111441628</v>
      </c>
    </row>
    <row r="164" spans="1:6">
      <c r="A164" s="149" t="s">
        <v>2962</v>
      </c>
      <c r="B164" s="144" t="s">
        <v>220</v>
      </c>
      <c r="C164" s="44">
        <v>16591</v>
      </c>
      <c r="D164" s="153">
        <f t="shared" si="2"/>
        <v>1.0369375000000001</v>
      </c>
      <c r="E164" s="43">
        <v>30511.837794399456</v>
      </c>
      <c r="F164" s="140">
        <v>1.2464098706946629</v>
      </c>
    </row>
    <row r="165" spans="1:6">
      <c r="A165" s="149" t="s">
        <v>2962</v>
      </c>
      <c r="B165" s="144" t="s">
        <v>221</v>
      </c>
      <c r="C165" s="44">
        <v>16596</v>
      </c>
      <c r="D165" s="153">
        <f t="shared" si="2"/>
        <v>1.03725</v>
      </c>
      <c r="E165" s="43">
        <v>30524.363096710364</v>
      </c>
      <c r="F165" s="140">
        <v>1.2383014242295758</v>
      </c>
    </row>
    <row r="166" spans="1:6">
      <c r="A166" s="149" t="s">
        <v>2962</v>
      </c>
      <c r="B166" s="144" t="s">
        <v>222</v>
      </c>
      <c r="C166" s="44">
        <v>16600</v>
      </c>
      <c r="D166" s="153">
        <f t="shared" si="2"/>
        <v>1.0375000000000001</v>
      </c>
      <c r="E166" s="43">
        <v>30534.38891637803</v>
      </c>
      <c r="F166" s="140">
        <v>1.2318137497205157</v>
      </c>
    </row>
    <row r="167" spans="1:6">
      <c r="A167" s="149" t="s">
        <v>2962</v>
      </c>
      <c r="B167" s="144" t="s">
        <v>223</v>
      </c>
      <c r="C167" s="44">
        <v>16604</v>
      </c>
      <c r="D167" s="153">
        <f t="shared" si="2"/>
        <v>1.03775</v>
      </c>
      <c r="E167" s="43">
        <v>30544.419698094531</v>
      </c>
      <c r="F167" s="140">
        <v>1.2253252592540775</v>
      </c>
    </row>
    <row r="168" spans="1:6">
      <c r="A168" s="149" t="s">
        <v>2962</v>
      </c>
      <c r="B168" s="144" t="s">
        <v>224</v>
      </c>
      <c r="C168" s="44">
        <v>16607</v>
      </c>
      <c r="D168" s="153">
        <f t="shared" si="2"/>
        <v>1.0379375</v>
      </c>
      <c r="E168" s="43">
        <v>30551.946042942887</v>
      </c>
      <c r="F168" s="140">
        <v>1.2204583556285229</v>
      </c>
    </row>
    <row r="169" spans="1:6">
      <c r="A169" s="149" t="s">
        <v>2962</v>
      </c>
      <c r="B169" s="144" t="s">
        <v>225</v>
      </c>
      <c r="C169" s="44">
        <v>16611</v>
      </c>
      <c r="D169" s="153">
        <f t="shared" si="2"/>
        <v>1.0381875</v>
      </c>
      <c r="E169" s="43">
        <v>30561.985517113324</v>
      </c>
      <c r="F169" s="140">
        <v>1.213968436021446</v>
      </c>
    </row>
    <row r="170" spans="1:6">
      <c r="A170" s="149" t="s">
        <v>2962</v>
      </c>
      <c r="B170" s="144" t="s">
        <v>226</v>
      </c>
      <c r="C170" s="44">
        <v>16615</v>
      </c>
      <c r="D170" s="153">
        <f t="shared" si="2"/>
        <v>1.0384375000000001</v>
      </c>
      <c r="E170" s="43">
        <v>30572.029963474284</v>
      </c>
      <c r="F170" s="140">
        <v>1.2074776990676241</v>
      </c>
    </row>
    <row r="171" spans="1:6">
      <c r="A171" s="149" t="s">
        <v>2962</v>
      </c>
      <c r="B171" s="144" t="s">
        <v>227</v>
      </c>
      <c r="C171" s="44">
        <v>16618</v>
      </c>
      <c r="D171" s="153">
        <f t="shared" si="2"/>
        <v>1.0386250000000001</v>
      </c>
      <c r="E171" s="43">
        <v>30579.566563467499</v>
      </c>
      <c r="F171" s="140">
        <v>1.202609109664138</v>
      </c>
    </row>
    <row r="172" spans="1:6">
      <c r="A172" s="149" t="s">
        <v>2962</v>
      </c>
      <c r="B172" s="144" t="s">
        <v>228</v>
      </c>
      <c r="C172" s="44">
        <v>16622</v>
      </c>
      <c r="D172" s="153">
        <f t="shared" si="2"/>
        <v>1.038875</v>
      </c>
      <c r="E172" s="43">
        <v>30589.619720054503</v>
      </c>
      <c r="F172" s="140">
        <v>1.1961169411360402</v>
      </c>
    </row>
    <row r="173" spans="1:6">
      <c r="A173" s="149" t="s">
        <v>2962</v>
      </c>
      <c r="B173" s="144" t="s">
        <v>229</v>
      </c>
      <c r="C173" s="44">
        <v>16625</v>
      </c>
      <c r="D173" s="153">
        <f t="shared" si="2"/>
        <v>1.0390625</v>
      </c>
      <c r="E173" s="43">
        <v>30597.162856965868</v>
      </c>
      <c r="F173" s="140">
        <v>1.1912472774704383</v>
      </c>
    </row>
    <row r="174" spans="1:6">
      <c r="A174" s="149" t="s">
        <v>2962</v>
      </c>
      <c r="B174" s="144" t="s">
        <v>230</v>
      </c>
      <c r="C174" s="44">
        <v>16629</v>
      </c>
      <c r="D174" s="153">
        <f t="shared" si="2"/>
        <v>1.0393125000000001</v>
      </c>
      <c r="E174" s="43">
        <v>30607.224735113701</v>
      </c>
      <c r="F174" s="140">
        <v>1.1847536758170349</v>
      </c>
    </row>
    <row r="175" spans="1:6">
      <c r="A175" s="149" t="s">
        <v>2962</v>
      </c>
      <c r="B175" s="144" t="s">
        <v>231</v>
      </c>
      <c r="C175" s="44">
        <v>16632</v>
      </c>
      <c r="D175" s="153">
        <f t="shared" si="2"/>
        <v>1.0395000000000001</v>
      </c>
      <c r="E175" s="43">
        <v>30614.774417451659</v>
      </c>
      <c r="F175" s="140">
        <v>1.1798829367253347</v>
      </c>
    </row>
    <row r="176" spans="1:6">
      <c r="A176" s="149" t="s">
        <v>2962</v>
      </c>
      <c r="B176" s="144" t="s">
        <v>232</v>
      </c>
      <c r="C176" s="44">
        <v>16635</v>
      </c>
      <c r="D176" s="153">
        <f t="shared" si="2"/>
        <v>1.0396875000000001</v>
      </c>
      <c r="E176" s="43">
        <v>30622.32690758074</v>
      </c>
      <c r="F176" s="140">
        <v>1.1750117363801564</v>
      </c>
    </row>
    <row r="177" spans="1:6">
      <c r="A177" s="149" t="s">
        <v>2962</v>
      </c>
      <c r="B177" s="144" t="s">
        <v>233</v>
      </c>
      <c r="C177" s="44">
        <v>16638</v>
      </c>
      <c r="D177" s="153">
        <f t="shared" si="2"/>
        <v>1.0398750000000001</v>
      </c>
      <c r="E177" s="43">
        <v>30629.882207067581</v>
      </c>
      <c r="F177" s="140">
        <v>1.1701400745673141</v>
      </c>
    </row>
    <row r="178" spans="1:6">
      <c r="A178" s="149" t="s">
        <v>2962</v>
      </c>
      <c r="B178" s="144" t="s">
        <v>234</v>
      </c>
      <c r="C178" s="44">
        <v>16641</v>
      </c>
      <c r="D178" s="153">
        <f t="shared" si="2"/>
        <v>1.0400625000000001</v>
      </c>
      <c r="E178" s="43">
        <v>30637.440317480006</v>
      </c>
      <c r="F178" s="140">
        <v>1.1652679510725648</v>
      </c>
    </row>
    <row r="179" spans="1:6">
      <c r="A179" s="149" t="s">
        <v>2962</v>
      </c>
      <c r="B179" s="144" t="s">
        <v>235</v>
      </c>
      <c r="C179" s="44">
        <v>16644</v>
      </c>
      <c r="D179" s="153">
        <f t="shared" si="2"/>
        <v>1.0402500000000001</v>
      </c>
      <c r="E179" s="43">
        <v>30645.001240387006</v>
      </c>
      <c r="F179" s="140">
        <v>1.160395365681552</v>
      </c>
    </row>
    <row r="180" spans="1:6">
      <c r="A180" s="149" t="s">
        <v>2962</v>
      </c>
      <c r="B180" s="144" t="s">
        <v>236</v>
      </c>
      <c r="C180" s="44">
        <v>16647</v>
      </c>
      <c r="D180" s="153">
        <f t="shared" si="2"/>
        <v>1.0404375000000001</v>
      </c>
      <c r="E180" s="43">
        <v>30652.564977358732</v>
      </c>
      <c r="F180" s="140">
        <v>1.1555223181798624</v>
      </c>
    </row>
    <row r="181" spans="1:6">
      <c r="A181" s="149" t="s">
        <v>2962</v>
      </c>
      <c r="B181" s="144" t="s">
        <v>237</v>
      </c>
      <c r="C181" s="44">
        <v>16650</v>
      </c>
      <c r="D181" s="153">
        <f t="shared" si="2"/>
        <v>1.0406249999999999</v>
      </c>
      <c r="E181" s="43">
        <v>30660.131529966497</v>
      </c>
      <c r="F181" s="140">
        <v>1.1506488083529121</v>
      </c>
    </row>
    <row r="182" spans="1:6">
      <c r="A182" s="149" t="s">
        <v>2962</v>
      </c>
      <c r="B182" s="144" t="s">
        <v>238</v>
      </c>
      <c r="C182" s="44">
        <v>16652</v>
      </c>
      <c r="D182" s="153">
        <f t="shared" si="2"/>
        <v>1.0407500000000001</v>
      </c>
      <c r="E182" s="43">
        <v>30665.177463390421</v>
      </c>
      <c r="F182" s="140">
        <v>1.1473995448482128</v>
      </c>
    </row>
    <row r="183" spans="1:6">
      <c r="A183" s="149" t="s">
        <v>2962</v>
      </c>
      <c r="B183" s="144" t="s">
        <v>239</v>
      </c>
      <c r="C183" s="44">
        <v>16655</v>
      </c>
      <c r="D183" s="153">
        <f t="shared" si="2"/>
        <v>1.0409375000000001</v>
      </c>
      <c r="E183" s="43">
        <v>30672.748712219945</v>
      </c>
      <c r="F183" s="140">
        <v>1.1425252640021313</v>
      </c>
    </row>
    <row r="184" spans="1:6">
      <c r="A184" s="149" t="s">
        <v>2962</v>
      </c>
      <c r="B184" s="144" t="s">
        <v>240</v>
      </c>
      <c r="C184" s="44">
        <v>16658</v>
      </c>
      <c r="D184" s="153">
        <f t="shared" si="2"/>
        <v>1.0411250000000001</v>
      </c>
      <c r="E184" s="43">
        <v>30680.322780881441</v>
      </c>
      <c r="F184" s="140">
        <v>1.1376505202580915</v>
      </c>
    </row>
    <row r="185" spans="1:6">
      <c r="A185" s="149" t="s">
        <v>2962</v>
      </c>
      <c r="B185" s="144" t="s">
        <v>241</v>
      </c>
      <c r="C185" s="44">
        <v>16660</v>
      </c>
      <c r="D185" s="153">
        <f t="shared" si="2"/>
        <v>1.04125</v>
      </c>
      <c r="E185" s="43">
        <v>30685.373727340451</v>
      </c>
      <c r="F185" s="140">
        <v>1.1344004338237141</v>
      </c>
    </row>
    <row r="186" spans="1:6">
      <c r="A186" s="149" t="s">
        <v>2962</v>
      </c>
      <c r="B186" s="144" t="s">
        <v>242</v>
      </c>
      <c r="C186" s="44">
        <v>16663</v>
      </c>
      <c r="D186" s="153">
        <f t="shared" si="2"/>
        <v>1.0414375</v>
      </c>
      <c r="E186" s="43">
        <v>30692.952499223844</v>
      </c>
      <c r="F186" s="140">
        <v>1.1295249181054032</v>
      </c>
    </row>
    <row r="187" spans="1:6">
      <c r="A187" s="149" t="s">
        <v>2962</v>
      </c>
      <c r="B187" s="144" t="s">
        <v>243</v>
      </c>
      <c r="C187" s="44">
        <v>16665</v>
      </c>
      <c r="D187" s="153">
        <f t="shared" si="2"/>
        <v>1.0415624999999999</v>
      </c>
      <c r="E187" s="43">
        <v>30698.006582624355</v>
      </c>
      <c r="F187" s="140">
        <v>1.1262743168224461</v>
      </c>
    </row>
    <row r="188" spans="1:6">
      <c r="A188" s="149" t="s">
        <v>2962</v>
      </c>
      <c r="B188" s="144" t="s">
        <v>244</v>
      </c>
      <c r="C188" s="44">
        <v>16668</v>
      </c>
      <c r="D188" s="153">
        <f t="shared" si="2"/>
        <v>1.04175</v>
      </c>
      <c r="E188" s="43">
        <v>30705.590062111802</v>
      </c>
      <c r="F188" s="140">
        <v>1.1213980285322691</v>
      </c>
    </row>
    <row r="189" spans="1:6">
      <c r="A189" s="149" t="s">
        <v>2962</v>
      </c>
      <c r="B189" s="144" t="s">
        <v>245</v>
      </c>
      <c r="C189" s="44">
        <v>16670</v>
      </c>
      <c r="D189" s="153">
        <f t="shared" si="2"/>
        <v>1.0418750000000001</v>
      </c>
      <c r="E189" s="43">
        <v>30710.647285377072</v>
      </c>
      <c r="F189" s="140">
        <v>1.1181469120020324</v>
      </c>
    </row>
    <row r="190" spans="1:6">
      <c r="A190" s="149" t="s">
        <v>2962</v>
      </c>
      <c r="B190" s="144" t="s">
        <v>246</v>
      </c>
      <c r="C190" s="44">
        <v>16672</v>
      </c>
      <c r="D190" s="153">
        <f t="shared" si="2"/>
        <v>1.042</v>
      </c>
      <c r="E190" s="43">
        <v>30715.705765407554</v>
      </c>
      <c r="F190" s="140">
        <v>1.1148955892612662</v>
      </c>
    </row>
    <row r="191" spans="1:6">
      <c r="A191" s="149" t="s">
        <v>2962</v>
      </c>
      <c r="B191" s="144" t="s">
        <v>247</v>
      </c>
      <c r="C191" s="44">
        <v>16674</v>
      </c>
      <c r="D191" s="153">
        <f t="shared" si="2"/>
        <v>1.042125</v>
      </c>
      <c r="E191" s="43">
        <v>30720.765502671802</v>
      </c>
      <c r="F191" s="140">
        <v>1.1116440602461921</v>
      </c>
    </row>
    <row r="192" spans="1:6">
      <c r="A192" s="149" t="s">
        <v>2962</v>
      </c>
      <c r="B192" s="144" t="s">
        <v>248</v>
      </c>
      <c r="C192" s="44">
        <v>16677</v>
      </c>
      <c r="D192" s="153">
        <f t="shared" si="2"/>
        <v>1.0423125</v>
      </c>
      <c r="E192" s="43">
        <v>30728.357466906968</v>
      </c>
      <c r="F192" s="140">
        <v>1.1067663798193621</v>
      </c>
    </row>
    <row r="193" spans="1:6">
      <c r="A193" s="149" t="s">
        <v>2962</v>
      </c>
      <c r="B193" s="144" t="s">
        <v>249</v>
      </c>
      <c r="C193" s="44">
        <v>16679</v>
      </c>
      <c r="D193" s="153">
        <f t="shared" si="2"/>
        <v>1.0424375000000001</v>
      </c>
      <c r="E193" s="43">
        <v>30733.420349306987</v>
      </c>
      <c r="F193" s="140">
        <v>1.1035143348387351</v>
      </c>
    </row>
    <row r="194" spans="1:6">
      <c r="A194" s="149" t="s">
        <v>2962</v>
      </c>
      <c r="B194" s="144" t="s">
        <v>250</v>
      </c>
      <c r="C194" s="44">
        <v>16681</v>
      </c>
      <c r="D194" s="153">
        <f t="shared" si="2"/>
        <v>1.0425625000000001</v>
      </c>
      <c r="E194" s="43">
        <v>30738.484490582458</v>
      </c>
      <c r="F194" s="140">
        <v>1.100262083360235</v>
      </c>
    </row>
    <row r="195" spans="1:6">
      <c r="A195" s="149" t="s">
        <v>2962</v>
      </c>
      <c r="B195" s="144" t="s">
        <v>251</v>
      </c>
      <c r="C195" s="44">
        <v>16683</v>
      </c>
      <c r="D195" s="153">
        <f t="shared" si="2"/>
        <v>1.0426875</v>
      </c>
      <c r="E195" s="43">
        <v>30743.549891202983</v>
      </c>
      <c r="F195" s="140">
        <v>1.0970096253197994</v>
      </c>
    </row>
    <row r="196" spans="1:6">
      <c r="A196" s="149" t="s">
        <v>2962</v>
      </c>
      <c r="B196" s="144" t="s">
        <v>252</v>
      </c>
      <c r="C196" s="44">
        <v>16685</v>
      </c>
      <c r="D196" s="153">
        <f t="shared" si="2"/>
        <v>1.0428124999999999</v>
      </c>
      <c r="E196" s="43">
        <v>30748.616551638377</v>
      </c>
      <c r="F196" s="140">
        <v>1.0937569606534225</v>
      </c>
    </row>
    <row r="197" spans="1:6">
      <c r="A197" s="149" t="s">
        <v>2962</v>
      </c>
      <c r="B197" s="144" t="s">
        <v>253</v>
      </c>
      <c r="C197" s="44">
        <v>16687</v>
      </c>
      <c r="D197" s="153">
        <f t="shared" si="2"/>
        <v>1.0429375000000001</v>
      </c>
      <c r="E197" s="43">
        <v>30753.684472358684</v>
      </c>
      <c r="F197" s="140">
        <v>1.0905040892972124</v>
      </c>
    </row>
    <row r="198" spans="1:6">
      <c r="A198" s="149" t="s">
        <v>2962</v>
      </c>
      <c r="B198" s="144" t="s">
        <v>254</v>
      </c>
      <c r="C198" s="44">
        <v>16689</v>
      </c>
      <c r="D198" s="153">
        <f t="shared" si="2"/>
        <v>1.0430625</v>
      </c>
      <c r="E198" s="43">
        <v>30758.753653834192</v>
      </c>
      <c r="F198" s="140">
        <v>1.0872510111871065</v>
      </c>
    </row>
    <row r="199" spans="1:6">
      <c r="A199" s="149" t="s">
        <v>2962</v>
      </c>
      <c r="B199" s="144" t="s">
        <v>255</v>
      </c>
      <c r="C199" s="44">
        <v>16690</v>
      </c>
      <c r="D199" s="153">
        <f t="shared" ref="D199:D262" si="3">C199/32768*4.096/2</f>
        <v>1.0431250000000001</v>
      </c>
      <c r="E199" s="43">
        <v>30761.288717502175</v>
      </c>
      <c r="F199" s="140">
        <v>1.0856243945793267</v>
      </c>
    </row>
    <row r="200" spans="1:6">
      <c r="A200" s="149" t="s">
        <v>2962</v>
      </c>
      <c r="B200" s="144" t="s">
        <v>256</v>
      </c>
      <c r="C200" s="44">
        <v>16692</v>
      </c>
      <c r="D200" s="153">
        <f t="shared" si="3"/>
        <v>1.04325</v>
      </c>
      <c r="E200" s="43">
        <v>30766.359790992785</v>
      </c>
      <c r="F200" s="140">
        <v>1.0823710062184659</v>
      </c>
    </row>
    <row r="201" spans="1:6">
      <c r="A201" s="149" t="s">
        <v>2962</v>
      </c>
      <c r="B201" s="144" t="s">
        <v>257</v>
      </c>
      <c r="C201" s="44">
        <v>16694</v>
      </c>
      <c r="D201" s="153">
        <f t="shared" si="3"/>
        <v>1.0433749999999999</v>
      </c>
      <c r="E201" s="43">
        <v>30771.43212641533</v>
      </c>
      <c r="F201" s="140">
        <v>1.0791174109435815</v>
      </c>
    </row>
    <row r="202" spans="1:6">
      <c r="A202" s="149" t="s">
        <v>2962</v>
      </c>
      <c r="B202" s="144" t="s">
        <v>258</v>
      </c>
      <c r="C202" s="44">
        <v>16696</v>
      </c>
      <c r="D202" s="153">
        <f t="shared" si="3"/>
        <v>1.0435000000000001</v>
      </c>
      <c r="E202" s="43">
        <v>30776.50572424092</v>
      </c>
      <c r="F202" s="140">
        <v>1.0758636086906108</v>
      </c>
    </row>
    <row r="203" spans="1:6">
      <c r="A203" s="149" t="s">
        <v>2962</v>
      </c>
      <c r="B203" s="144" t="s">
        <v>259</v>
      </c>
      <c r="C203" s="44">
        <v>16697</v>
      </c>
      <c r="D203" s="153">
        <f t="shared" si="3"/>
        <v>1.0435624999999999</v>
      </c>
      <c r="E203" s="43">
        <v>30779.042996702134</v>
      </c>
      <c r="F203" s="140">
        <v>1.074236629927384</v>
      </c>
    </row>
    <row r="204" spans="1:6">
      <c r="A204" s="149" t="s">
        <v>2962</v>
      </c>
      <c r="B204" s="144" t="s">
        <v>260</v>
      </c>
      <c r="C204" s="44">
        <v>16699</v>
      </c>
      <c r="D204" s="153">
        <f t="shared" si="3"/>
        <v>1.0436875000000001</v>
      </c>
      <c r="E204" s="43">
        <v>30784.118489016124</v>
      </c>
      <c r="F204" s="140">
        <v>1.0709825170872023</v>
      </c>
    </row>
    <row r="205" spans="1:6">
      <c r="A205" s="149" t="s">
        <v>2962</v>
      </c>
      <c r="B205" s="144" t="s">
        <v>261</v>
      </c>
      <c r="C205" s="44">
        <v>16701</v>
      </c>
      <c r="D205" s="153">
        <f t="shared" si="3"/>
        <v>1.0438125</v>
      </c>
      <c r="E205" s="43">
        <v>30789.195244911931</v>
      </c>
      <c r="F205" s="140">
        <v>1.0677281971086927</v>
      </c>
    </row>
    <row r="206" spans="1:6">
      <c r="A206" s="149" t="s">
        <v>2962</v>
      </c>
      <c r="B206" s="144" t="s">
        <v>262</v>
      </c>
      <c r="C206" s="44">
        <v>16702</v>
      </c>
      <c r="D206" s="153">
        <f t="shared" si="3"/>
        <v>1.0438750000000001</v>
      </c>
      <c r="E206" s="43">
        <v>30791.734096850498</v>
      </c>
      <c r="F206" s="140">
        <v>1.066100959422613</v>
      </c>
    </row>
    <row r="207" spans="1:6">
      <c r="A207" s="149" t="s">
        <v>2962</v>
      </c>
      <c r="B207" s="144" t="s">
        <v>263</v>
      </c>
      <c r="C207" s="44">
        <v>16704</v>
      </c>
      <c r="D207" s="153">
        <f t="shared" si="3"/>
        <v>1.044</v>
      </c>
      <c r="E207" s="43">
        <v>30796.812749003984</v>
      </c>
      <c r="F207" s="140">
        <v>1.062846328616331</v>
      </c>
    </row>
    <row r="208" spans="1:6">
      <c r="A208" s="149" t="s">
        <v>2962</v>
      </c>
      <c r="B208" s="144" t="s">
        <v>264</v>
      </c>
      <c r="C208" s="44">
        <v>16705</v>
      </c>
      <c r="D208" s="153">
        <f t="shared" si="3"/>
        <v>1.0440625000000001</v>
      </c>
      <c r="E208" s="43">
        <v>30799.352549336993</v>
      </c>
      <c r="F208" s="140">
        <v>1.0612189354802695</v>
      </c>
    </row>
    <row r="209" spans="1:6">
      <c r="A209" s="149" t="s">
        <v>2962</v>
      </c>
      <c r="B209" s="144" t="s">
        <v>265</v>
      </c>
      <c r="C209" s="44">
        <v>16707</v>
      </c>
      <c r="D209" s="153">
        <f t="shared" si="3"/>
        <v>1.0441875</v>
      </c>
      <c r="E209" s="43">
        <v>30804.433098810783</v>
      </c>
      <c r="F209" s="140">
        <v>1.0579639937018328</v>
      </c>
    </row>
    <row r="210" spans="1:6">
      <c r="A210" s="149" t="s">
        <v>2962</v>
      </c>
      <c r="B210" s="144" t="s">
        <v>266</v>
      </c>
      <c r="C210" s="44">
        <v>16708</v>
      </c>
      <c r="D210" s="153">
        <f t="shared" si="3"/>
        <v>1.0442500000000001</v>
      </c>
      <c r="E210" s="43">
        <v>30806.973848069745</v>
      </c>
      <c r="F210" s="140">
        <v>1.0563364450435984</v>
      </c>
    </row>
    <row r="211" spans="1:6">
      <c r="A211" s="149" t="s">
        <v>2962</v>
      </c>
      <c r="B211" s="144" t="s">
        <v>267</v>
      </c>
      <c r="C211" s="44">
        <v>16710</v>
      </c>
      <c r="D211" s="153">
        <f t="shared" si="3"/>
        <v>1.0443750000000001</v>
      </c>
      <c r="E211" s="43">
        <v>30812.056295927265</v>
      </c>
      <c r="F211" s="140">
        <v>1.053081192148511</v>
      </c>
    </row>
    <row r="212" spans="1:6">
      <c r="A212" s="149" t="s">
        <v>2962</v>
      </c>
      <c r="B212" s="144" t="s">
        <v>268</v>
      </c>
      <c r="C212" s="44">
        <v>16711</v>
      </c>
      <c r="D212" s="153">
        <f t="shared" si="3"/>
        <v>1.0444375000000001</v>
      </c>
      <c r="E212" s="43">
        <v>30814.597994644086</v>
      </c>
      <c r="F212" s="140">
        <v>1.051453487895742</v>
      </c>
    </row>
    <row r="213" spans="1:6">
      <c r="A213" s="149" t="s">
        <v>2962</v>
      </c>
      <c r="B213" s="144" t="s">
        <v>269</v>
      </c>
      <c r="C213" s="44">
        <v>16713</v>
      </c>
      <c r="D213" s="153">
        <f t="shared" si="3"/>
        <v>1.0445625000000001</v>
      </c>
      <c r="E213" s="43">
        <v>30819.682341949549</v>
      </c>
      <c r="F213" s="140">
        <v>1.0481979237395649</v>
      </c>
    </row>
    <row r="214" spans="1:6">
      <c r="A214" s="149" t="s">
        <v>2962</v>
      </c>
      <c r="B214" s="144" t="s">
        <v>270</v>
      </c>
      <c r="C214" s="44">
        <v>16714</v>
      </c>
      <c r="D214" s="153">
        <f t="shared" si="3"/>
        <v>1.0446249999999999</v>
      </c>
      <c r="E214" s="43">
        <v>30822.224990656534</v>
      </c>
      <c r="F214" s="140">
        <v>1.0465700638200701</v>
      </c>
    </row>
    <row r="215" spans="1:6">
      <c r="A215" s="149" t="s">
        <v>2962</v>
      </c>
      <c r="B215" s="144" t="s">
        <v>271</v>
      </c>
      <c r="C215" s="44">
        <v>16715</v>
      </c>
      <c r="D215" s="153">
        <f t="shared" si="3"/>
        <v>1.0446875</v>
      </c>
      <c r="E215" s="43">
        <v>30824.767956145268</v>
      </c>
      <c r="F215" s="140">
        <v>1.044942151995599</v>
      </c>
    </row>
    <row r="216" spans="1:6">
      <c r="A216" s="149" t="s">
        <v>2962</v>
      </c>
      <c r="B216" s="144" t="s">
        <v>272</v>
      </c>
      <c r="C216" s="44">
        <v>16716</v>
      </c>
      <c r="D216" s="153">
        <f t="shared" si="3"/>
        <v>1.0447500000000001</v>
      </c>
      <c r="E216" s="43">
        <v>30827.311238474955</v>
      </c>
      <c r="F216" s="140">
        <v>1.043314188258023</v>
      </c>
    </row>
    <row r="217" spans="1:6">
      <c r="A217" s="149" t="s">
        <v>2962</v>
      </c>
      <c r="B217" s="144" t="s">
        <v>273</v>
      </c>
      <c r="C217" s="44">
        <v>16718</v>
      </c>
      <c r="D217" s="153">
        <f t="shared" si="3"/>
        <v>1.044875</v>
      </c>
      <c r="E217" s="43">
        <v>30832.398753894082</v>
      </c>
      <c r="F217" s="140">
        <v>1.0400581050117808</v>
      </c>
    </row>
    <row r="218" spans="1:6">
      <c r="A218" s="149" t="s">
        <v>2962</v>
      </c>
      <c r="B218" s="144" t="s">
        <v>274</v>
      </c>
      <c r="C218" s="44">
        <v>16719</v>
      </c>
      <c r="D218" s="153">
        <f t="shared" si="3"/>
        <v>1.0449375000000001</v>
      </c>
      <c r="E218" s="43">
        <v>30834.942987102</v>
      </c>
      <c r="F218" s="140">
        <v>1.038429985486971</v>
      </c>
    </row>
    <row r="219" spans="1:6">
      <c r="A219" s="149" t="s">
        <v>2962</v>
      </c>
      <c r="B219" s="144" t="s">
        <v>275</v>
      </c>
      <c r="C219" s="44">
        <v>16720</v>
      </c>
      <c r="D219" s="153">
        <f t="shared" si="3"/>
        <v>1.0449999999999999</v>
      </c>
      <c r="E219" s="43">
        <v>30837.487537387835</v>
      </c>
      <c r="F219" s="140">
        <v>1.0368018140169966</v>
      </c>
    </row>
    <row r="220" spans="1:6">
      <c r="A220" s="149" t="s">
        <v>2962</v>
      </c>
      <c r="B220" s="144" t="s">
        <v>276</v>
      </c>
      <c r="C220" s="44">
        <v>16721</v>
      </c>
      <c r="D220" s="153">
        <f t="shared" si="3"/>
        <v>1.0450625</v>
      </c>
      <c r="E220" s="43">
        <v>30840.032404810867</v>
      </c>
      <c r="F220" s="140">
        <v>1.0351735905936721</v>
      </c>
    </row>
    <row r="221" spans="1:6">
      <c r="A221" s="149" t="s">
        <v>2962</v>
      </c>
      <c r="B221" s="144" t="s">
        <v>277</v>
      </c>
      <c r="C221" s="44">
        <v>16722</v>
      </c>
      <c r="D221" s="153">
        <f t="shared" si="3"/>
        <v>1.0451250000000001</v>
      </c>
      <c r="E221" s="43">
        <v>30842.577589430388</v>
      </c>
      <c r="F221" s="140">
        <v>1.0335453152091532</v>
      </c>
    </row>
    <row r="222" spans="1:6">
      <c r="A222" s="149" t="s">
        <v>2962</v>
      </c>
      <c r="B222" s="144" t="s">
        <v>278</v>
      </c>
      <c r="C222" s="44">
        <v>16723</v>
      </c>
      <c r="D222" s="153">
        <f t="shared" si="3"/>
        <v>1.0451874999999999</v>
      </c>
      <c r="E222" s="43">
        <v>30845.123091305704</v>
      </c>
      <c r="F222" s="140">
        <v>1.0319169878553112</v>
      </c>
    </row>
    <row r="223" spans="1:6">
      <c r="A223" s="149" t="s">
        <v>2962</v>
      </c>
      <c r="B223" s="144" t="s">
        <v>279</v>
      </c>
      <c r="C223" s="44">
        <v>16724</v>
      </c>
      <c r="D223" s="153">
        <f t="shared" si="3"/>
        <v>1.04525</v>
      </c>
      <c r="E223" s="43">
        <v>30847.668910496137</v>
      </c>
      <c r="F223" s="140">
        <v>1.0302886085241312</v>
      </c>
    </row>
    <row r="224" spans="1:6">
      <c r="A224" s="149" t="s">
        <v>2962</v>
      </c>
      <c r="B224" s="144" t="s">
        <v>280</v>
      </c>
      <c r="C224" s="44">
        <v>16726</v>
      </c>
      <c r="D224" s="153">
        <f t="shared" si="3"/>
        <v>1.0453749999999999</v>
      </c>
      <c r="E224" s="43">
        <v>30852.761501059718</v>
      </c>
      <c r="F224" s="140">
        <v>1.0270316938972996</v>
      </c>
    </row>
    <row r="225" spans="1:6">
      <c r="A225" s="149" t="s">
        <v>2962</v>
      </c>
      <c r="B225" s="144" t="s">
        <v>281</v>
      </c>
      <c r="C225" s="44">
        <v>16727</v>
      </c>
      <c r="D225" s="153">
        <f t="shared" si="3"/>
        <v>1.0454375</v>
      </c>
      <c r="E225" s="43">
        <v>30855.308272551585</v>
      </c>
      <c r="F225" s="140">
        <v>1.0254031585856183</v>
      </c>
    </row>
    <row r="226" spans="1:6">
      <c r="A226" s="149" t="s">
        <v>2962</v>
      </c>
      <c r="B226" s="144" t="s">
        <v>282</v>
      </c>
      <c r="C226" s="44">
        <v>16728</v>
      </c>
      <c r="D226" s="153">
        <f t="shared" si="3"/>
        <v>1.0455000000000001</v>
      </c>
      <c r="E226" s="43">
        <v>30857.855361596015</v>
      </c>
      <c r="F226" s="140">
        <v>1.0237745712643687</v>
      </c>
    </row>
    <row r="227" spans="1:6">
      <c r="A227" s="149" t="s">
        <v>2962</v>
      </c>
      <c r="B227" s="144" t="s">
        <v>283</v>
      </c>
      <c r="C227" s="44">
        <v>16729</v>
      </c>
      <c r="D227" s="153">
        <f t="shared" si="3"/>
        <v>1.0455625</v>
      </c>
      <c r="E227" s="43">
        <v>30860.402768252385</v>
      </c>
      <c r="F227" s="140">
        <v>1.0221459319255928</v>
      </c>
    </row>
    <row r="228" spans="1:6">
      <c r="A228" s="149" t="s">
        <v>2962</v>
      </c>
      <c r="B228" s="144" t="s">
        <v>284</v>
      </c>
      <c r="C228" s="44">
        <v>16730</v>
      </c>
      <c r="D228" s="153">
        <f t="shared" si="3"/>
        <v>1.045625</v>
      </c>
      <c r="E228" s="43">
        <v>30862.950492580123</v>
      </c>
      <c r="F228" s="140">
        <v>1.0205172405609346</v>
      </c>
    </row>
    <row r="229" spans="1:6">
      <c r="A229" s="149" t="s">
        <v>2962</v>
      </c>
      <c r="B229" s="144" t="s">
        <v>285</v>
      </c>
      <c r="C229" s="44">
        <v>16731</v>
      </c>
      <c r="D229" s="153">
        <f t="shared" si="3"/>
        <v>1.0456875000000001</v>
      </c>
      <c r="E229" s="43">
        <v>30865.498534638653</v>
      </c>
      <c r="F229" s="140">
        <v>1.0188884971626635</v>
      </c>
    </row>
    <row r="230" spans="1:6">
      <c r="A230" s="149" t="s">
        <v>2962</v>
      </c>
      <c r="B230" s="144" t="s">
        <v>286</v>
      </c>
      <c r="C230" s="44">
        <v>16731</v>
      </c>
      <c r="D230" s="153">
        <f t="shared" si="3"/>
        <v>1.0456875000000001</v>
      </c>
      <c r="E230" s="43">
        <v>30865.498534638653</v>
      </c>
      <c r="F230" s="140">
        <v>1.0188884971626635</v>
      </c>
    </row>
    <row r="231" spans="1:6">
      <c r="A231" s="149" t="s">
        <v>2962</v>
      </c>
      <c r="B231" s="144" t="s">
        <v>287</v>
      </c>
      <c r="C231" s="44">
        <v>16732</v>
      </c>
      <c r="D231" s="153">
        <f t="shared" si="3"/>
        <v>1.04575</v>
      </c>
      <c r="E231" s="43">
        <v>30868.046894487405</v>
      </c>
      <c r="F231" s="140">
        <v>1.0172597017225371</v>
      </c>
    </row>
    <row r="232" spans="1:6">
      <c r="A232" s="149" t="s">
        <v>2962</v>
      </c>
      <c r="B232" s="144" t="s">
        <v>288</v>
      </c>
      <c r="C232" s="44">
        <v>16733</v>
      </c>
      <c r="D232" s="153">
        <f t="shared" si="3"/>
        <v>1.0458125</v>
      </c>
      <c r="E232" s="43">
        <v>30870.595572185845</v>
      </c>
      <c r="F232" s="140">
        <v>1.0156308542325405</v>
      </c>
    </row>
    <row r="233" spans="1:6">
      <c r="A233" s="149" t="s">
        <v>2962</v>
      </c>
      <c r="B233" s="144" t="s">
        <v>289</v>
      </c>
      <c r="C233" s="44">
        <v>16734</v>
      </c>
      <c r="D233" s="153">
        <f t="shared" si="3"/>
        <v>1.0458750000000001</v>
      </c>
      <c r="E233" s="43">
        <v>30873.144567793446</v>
      </c>
      <c r="F233" s="140">
        <v>1.014001954684602</v>
      </c>
    </row>
    <row r="234" spans="1:6">
      <c r="A234" s="149" t="s">
        <v>2962</v>
      </c>
      <c r="B234" s="144" t="s">
        <v>290</v>
      </c>
      <c r="C234" s="44">
        <v>16735</v>
      </c>
      <c r="D234" s="153">
        <f t="shared" si="3"/>
        <v>1.0459375</v>
      </c>
      <c r="E234" s="43">
        <v>30875.693881369676</v>
      </c>
      <c r="F234" s="140">
        <v>1.0123730030706497</v>
      </c>
    </row>
    <row r="235" spans="1:6">
      <c r="A235" s="149" t="s">
        <v>2962</v>
      </c>
      <c r="B235" s="144" t="s">
        <v>291</v>
      </c>
      <c r="C235" s="44">
        <v>16736</v>
      </c>
      <c r="D235" s="153">
        <f t="shared" si="3"/>
        <v>1.046</v>
      </c>
      <c r="E235" s="43">
        <v>30878.243512974052</v>
      </c>
      <c r="F235" s="140">
        <v>1.0107439993826688</v>
      </c>
    </row>
    <row r="236" spans="1:6">
      <c r="A236" s="149" t="s">
        <v>2962</v>
      </c>
      <c r="B236" s="144" t="s">
        <v>292</v>
      </c>
      <c r="C236" s="44">
        <v>16737</v>
      </c>
      <c r="D236" s="153">
        <f t="shared" si="3"/>
        <v>1.0460625000000001</v>
      </c>
      <c r="E236" s="43">
        <v>30880.79346266609</v>
      </c>
      <c r="F236" s="140">
        <v>1.0091149436125306</v>
      </c>
    </row>
    <row r="237" spans="1:6">
      <c r="A237" s="149" t="s">
        <v>2962</v>
      </c>
      <c r="B237" s="144" t="s">
        <v>293</v>
      </c>
      <c r="C237" s="44">
        <v>16737</v>
      </c>
      <c r="D237" s="153">
        <f t="shared" si="3"/>
        <v>1.0460625000000001</v>
      </c>
      <c r="E237" s="43">
        <v>30880.79346266609</v>
      </c>
      <c r="F237" s="140">
        <v>1.0091149436125306</v>
      </c>
    </row>
    <row r="238" spans="1:6">
      <c r="A238" s="149" t="s">
        <v>2962</v>
      </c>
      <c r="B238" s="144" t="s">
        <v>294</v>
      </c>
      <c r="C238" s="44">
        <v>16738</v>
      </c>
      <c r="D238" s="153">
        <f t="shared" si="3"/>
        <v>1.046125</v>
      </c>
      <c r="E238" s="43">
        <v>30883.343730505301</v>
      </c>
      <c r="F238" s="140">
        <v>1.0074858357522771</v>
      </c>
    </row>
    <row r="239" spans="1:6">
      <c r="A239" s="149" t="s">
        <v>2962</v>
      </c>
      <c r="B239" s="144" t="s">
        <v>295</v>
      </c>
      <c r="C239" s="44">
        <v>16739</v>
      </c>
      <c r="D239" s="153">
        <f t="shared" si="3"/>
        <v>1.0461875</v>
      </c>
      <c r="E239" s="43">
        <v>30885.89431655125</v>
      </c>
      <c r="F239" s="140">
        <v>1.005856675793666</v>
      </c>
    </row>
    <row r="240" spans="1:6">
      <c r="A240" s="149" t="s">
        <v>2962</v>
      </c>
      <c r="B240" s="144" t="s">
        <v>296</v>
      </c>
      <c r="C240" s="44">
        <v>16740</v>
      </c>
      <c r="D240" s="153">
        <f t="shared" si="3"/>
        <v>1.0462500000000001</v>
      </c>
      <c r="E240" s="43">
        <v>30888.445220863494</v>
      </c>
      <c r="F240" s="140">
        <v>1.004227463728796</v>
      </c>
    </row>
    <row r="241" spans="1:6">
      <c r="A241" s="149" t="s">
        <v>2962</v>
      </c>
      <c r="B241" s="144" t="s">
        <v>297</v>
      </c>
      <c r="C241" s="44">
        <v>16741</v>
      </c>
      <c r="D241" s="153">
        <f t="shared" si="3"/>
        <v>1.0463125</v>
      </c>
      <c r="E241" s="43">
        <v>30890.99644350159</v>
      </c>
      <c r="F241" s="140">
        <v>1.0025981995494249</v>
      </c>
    </row>
    <row r="242" spans="1:6">
      <c r="A242" s="149" t="s">
        <v>2962</v>
      </c>
      <c r="B242" s="144" t="s">
        <v>298</v>
      </c>
      <c r="C242" s="44">
        <v>16741</v>
      </c>
      <c r="D242" s="153">
        <f t="shared" si="3"/>
        <v>1.0463125</v>
      </c>
      <c r="E242" s="43">
        <v>30890.99644350159</v>
      </c>
      <c r="F242" s="140">
        <v>1.0025981995494249</v>
      </c>
    </row>
    <row r="243" spans="1:6">
      <c r="A243" s="149" t="s">
        <v>2962</v>
      </c>
      <c r="B243" s="144" t="s">
        <v>299</v>
      </c>
      <c r="C243" s="44">
        <v>16742</v>
      </c>
      <c r="D243" s="153">
        <f t="shared" si="3"/>
        <v>1.0463750000000001</v>
      </c>
      <c r="E243" s="43">
        <v>30893.547984525147</v>
      </c>
      <c r="F243" s="140">
        <v>1.0009688832476513</v>
      </c>
    </row>
    <row r="244" spans="1:6">
      <c r="A244" s="149" t="s">
        <v>2962</v>
      </c>
      <c r="B244" s="144" t="s">
        <v>300</v>
      </c>
      <c r="C244" s="44">
        <v>16743</v>
      </c>
      <c r="D244" s="153">
        <f t="shared" si="3"/>
        <v>1.0464375000000001</v>
      </c>
      <c r="E244" s="43">
        <v>30896.099843993765</v>
      </c>
      <c r="F244" s="140">
        <v>0.99933951481528993</v>
      </c>
    </row>
    <row r="245" spans="1:6">
      <c r="A245" s="149" t="s">
        <v>2962</v>
      </c>
      <c r="B245" s="144" t="s">
        <v>301</v>
      </c>
      <c r="C245" s="44">
        <v>16743</v>
      </c>
      <c r="D245" s="153">
        <f t="shared" si="3"/>
        <v>1.0464375000000001</v>
      </c>
      <c r="E245" s="43">
        <v>30896.099843993765</v>
      </c>
      <c r="F245" s="140">
        <v>0.99933951481528993</v>
      </c>
    </row>
    <row r="246" spans="1:6">
      <c r="A246" s="149" t="s">
        <v>2962</v>
      </c>
      <c r="B246" s="144" t="s">
        <v>302</v>
      </c>
      <c r="C246" s="44">
        <v>16744</v>
      </c>
      <c r="D246" s="153">
        <f t="shared" si="3"/>
        <v>1.0465</v>
      </c>
      <c r="E246" s="43">
        <v>30898.652021967049</v>
      </c>
      <c r="F246" s="140">
        <v>0.99771009424438262</v>
      </c>
    </row>
    <row r="247" spans="1:6">
      <c r="A247" s="149" t="s">
        <v>2962</v>
      </c>
      <c r="B247" s="144" t="s">
        <v>303</v>
      </c>
      <c r="C247" s="44">
        <v>16745</v>
      </c>
      <c r="D247" s="153">
        <f t="shared" si="3"/>
        <v>1.0465625000000001</v>
      </c>
      <c r="E247" s="43">
        <v>30901.204518504648</v>
      </c>
      <c r="F247" s="140">
        <v>0.99608062152663024</v>
      </c>
    </row>
    <row r="248" spans="1:6">
      <c r="A248" s="149" t="s">
        <v>2962</v>
      </c>
      <c r="B248" s="144" t="s">
        <v>304</v>
      </c>
      <c r="C248" s="44">
        <v>16745</v>
      </c>
      <c r="D248" s="153">
        <f t="shared" si="3"/>
        <v>1.0465625000000001</v>
      </c>
      <c r="E248" s="43">
        <v>30901.204518504648</v>
      </c>
      <c r="F248" s="140">
        <v>0.99608062152663024</v>
      </c>
    </row>
    <row r="249" spans="1:6">
      <c r="A249" s="149" t="s">
        <v>2962</v>
      </c>
      <c r="B249" s="144" t="s">
        <v>305</v>
      </c>
      <c r="C249" s="44">
        <v>16746</v>
      </c>
      <c r="D249" s="153">
        <f t="shared" si="3"/>
        <v>1.0466249999999999</v>
      </c>
      <c r="E249" s="43">
        <v>30903.75733366621</v>
      </c>
      <c r="F249" s="140">
        <v>0.9944510966541884</v>
      </c>
    </row>
    <row r="250" spans="1:6">
      <c r="A250" s="149" t="s">
        <v>2962</v>
      </c>
      <c r="B250" s="144" t="s">
        <v>306</v>
      </c>
      <c r="C250" s="44">
        <v>16746</v>
      </c>
      <c r="D250" s="153">
        <f t="shared" si="3"/>
        <v>1.0466249999999999</v>
      </c>
      <c r="E250" s="43">
        <v>30903.75733366621</v>
      </c>
      <c r="F250" s="140">
        <v>0.9944510966541884</v>
      </c>
    </row>
    <row r="251" spans="1:6">
      <c r="A251" s="149" t="s">
        <v>2962</v>
      </c>
      <c r="B251" s="144" t="s">
        <v>307</v>
      </c>
      <c r="C251" s="44">
        <v>16747</v>
      </c>
      <c r="D251" s="153">
        <f t="shared" si="3"/>
        <v>1.0466875</v>
      </c>
      <c r="E251" s="43">
        <v>30906.31046751139</v>
      </c>
      <c r="F251" s="140">
        <v>0.99282151961887166</v>
      </c>
    </row>
    <row r="252" spans="1:6">
      <c r="A252" s="149" t="s">
        <v>2962</v>
      </c>
      <c r="B252" s="144" t="s">
        <v>308</v>
      </c>
      <c r="C252" s="44">
        <v>16748</v>
      </c>
      <c r="D252" s="153">
        <f t="shared" si="3"/>
        <v>1.0467500000000001</v>
      </c>
      <c r="E252" s="43">
        <v>30908.863920099877</v>
      </c>
      <c r="F252" s="140">
        <v>0.99119189041260825</v>
      </c>
    </row>
    <row r="253" spans="1:6">
      <c r="A253" s="149" t="s">
        <v>2962</v>
      </c>
      <c r="B253" s="144" t="s">
        <v>309</v>
      </c>
      <c r="C253" s="44">
        <v>16748</v>
      </c>
      <c r="D253" s="153">
        <f t="shared" si="3"/>
        <v>1.0467500000000001</v>
      </c>
      <c r="E253" s="43">
        <v>30908.863920099877</v>
      </c>
      <c r="F253" s="140">
        <v>0.99119189041260825</v>
      </c>
    </row>
    <row r="254" spans="1:6">
      <c r="A254" s="149" t="s">
        <v>2962</v>
      </c>
      <c r="B254" s="144" t="s">
        <v>310</v>
      </c>
      <c r="C254" s="44">
        <v>16749</v>
      </c>
      <c r="D254" s="153">
        <f t="shared" si="3"/>
        <v>1.0468124999999999</v>
      </c>
      <c r="E254" s="43">
        <v>30911.417691491355</v>
      </c>
      <c r="F254" s="140">
        <v>0.98956220902732639</v>
      </c>
    </row>
    <row r="255" spans="1:6">
      <c r="A255" s="149" t="s">
        <v>2962</v>
      </c>
      <c r="B255" s="144" t="s">
        <v>311</v>
      </c>
      <c r="C255" s="44">
        <v>16749</v>
      </c>
      <c r="D255" s="153">
        <f t="shared" si="3"/>
        <v>1.0468124999999999</v>
      </c>
      <c r="E255" s="43">
        <v>30911.417691491355</v>
      </c>
      <c r="F255" s="140">
        <v>0.98956220902732639</v>
      </c>
    </row>
    <row r="256" spans="1:6">
      <c r="A256" s="149" t="s">
        <v>2962</v>
      </c>
      <c r="B256" s="144" t="s">
        <v>312</v>
      </c>
      <c r="C256" s="44">
        <v>16750</v>
      </c>
      <c r="D256" s="153">
        <f t="shared" si="3"/>
        <v>1.046875</v>
      </c>
      <c r="E256" s="43">
        <v>30913.971781745535</v>
      </c>
      <c r="F256" s="140">
        <v>0.98793247545501117</v>
      </c>
    </row>
    <row r="257" spans="1:6">
      <c r="A257" s="149" t="s">
        <v>2962</v>
      </c>
      <c r="B257" s="144" t="s">
        <v>313</v>
      </c>
      <c r="C257" s="44">
        <v>16750</v>
      </c>
      <c r="D257" s="153">
        <f t="shared" si="3"/>
        <v>1.046875</v>
      </c>
      <c r="E257" s="43">
        <v>30913.971781745535</v>
      </c>
      <c r="F257" s="140">
        <v>0.98793247545501117</v>
      </c>
    </row>
    <row r="258" spans="1:6">
      <c r="A258" s="149" t="s">
        <v>2962</v>
      </c>
      <c r="B258" s="144" t="s">
        <v>314</v>
      </c>
      <c r="C258" s="44">
        <v>16751</v>
      </c>
      <c r="D258" s="153">
        <f t="shared" si="3"/>
        <v>1.0469375000000001</v>
      </c>
      <c r="E258" s="43">
        <v>30916.526190922144</v>
      </c>
      <c r="F258" s="140">
        <v>0.98630268968747714</v>
      </c>
    </row>
    <row r="259" spans="1:6">
      <c r="A259" s="149" t="s">
        <v>2962</v>
      </c>
      <c r="B259" s="144" t="s">
        <v>315</v>
      </c>
      <c r="C259" s="44">
        <v>16751</v>
      </c>
      <c r="D259" s="153">
        <f t="shared" si="3"/>
        <v>1.0469375000000001</v>
      </c>
      <c r="E259" s="43">
        <v>30916.526190922144</v>
      </c>
      <c r="F259" s="140">
        <v>0.98630268968747714</v>
      </c>
    </row>
    <row r="260" spans="1:6">
      <c r="A260" s="149" t="s">
        <v>2962</v>
      </c>
      <c r="B260" s="144" t="s">
        <v>316</v>
      </c>
      <c r="C260" s="44">
        <v>16752</v>
      </c>
      <c r="D260" s="153">
        <f t="shared" si="3"/>
        <v>1.0469999999999999</v>
      </c>
      <c r="E260" s="43">
        <v>30919.08091908092</v>
      </c>
      <c r="F260" s="140">
        <v>0.98467285171659569</v>
      </c>
    </row>
    <row r="261" spans="1:6">
      <c r="A261" s="149" t="s">
        <v>2962</v>
      </c>
      <c r="B261" s="144" t="s">
        <v>317</v>
      </c>
      <c r="C261" s="44">
        <v>16752</v>
      </c>
      <c r="D261" s="153">
        <f t="shared" si="3"/>
        <v>1.0469999999999999</v>
      </c>
      <c r="E261" s="43">
        <v>30919.08091908092</v>
      </c>
      <c r="F261" s="140">
        <v>0.98467285171659569</v>
      </c>
    </row>
    <row r="262" spans="1:6">
      <c r="A262" s="149" t="s">
        <v>2962</v>
      </c>
      <c r="B262" s="144" t="s">
        <v>318</v>
      </c>
      <c r="C262" s="44">
        <v>16753</v>
      </c>
      <c r="D262" s="153">
        <f t="shared" si="3"/>
        <v>1.0470625</v>
      </c>
      <c r="E262" s="43">
        <v>30921.63596628161</v>
      </c>
      <c r="F262" s="140">
        <v>0.98304296153429505</v>
      </c>
    </row>
    <row r="263" spans="1:6">
      <c r="A263" s="149" t="s">
        <v>2962</v>
      </c>
      <c r="B263" s="144" t="s">
        <v>319</v>
      </c>
      <c r="C263" s="44">
        <v>16753</v>
      </c>
      <c r="D263" s="153">
        <f t="shared" ref="D263:D326" si="4">C263/32768*4.096/2</f>
        <v>1.0470625</v>
      </c>
      <c r="E263" s="43">
        <v>30921.63596628161</v>
      </c>
      <c r="F263" s="140">
        <v>0.98304296153429505</v>
      </c>
    </row>
    <row r="264" spans="1:6">
      <c r="A264" s="149" t="s">
        <v>2962</v>
      </c>
      <c r="B264" s="144" t="s">
        <v>320</v>
      </c>
      <c r="C264" s="44">
        <v>16753</v>
      </c>
      <c r="D264" s="153">
        <f t="shared" si="4"/>
        <v>1.0470625</v>
      </c>
      <c r="E264" s="43">
        <v>30921.63596628161</v>
      </c>
      <c r="F264" s="140">
        <v>0.98304296153429505</v>
      </c>
    </row>
    <row r="265" spans="1:6">
      <c r="A265" s="149" t="s">
        <v>2962</v>
      </c>
      <c r="B265" s="144" t="s">
        <v>321</v>
      </c>
      <c r="C265" s="44">
        <v>16754</v>
      </c>
      <c r="D265" s="153">
        <f t="shared" si="4"/>
        <v>1.0471250000000001</v>
      </c>
      <c r="E265" s="43">
        <v>30924.191332583989</v>
      </c>
      <c r="F265" s="140">
        <v>0.98141301913267398</v>
      </c>
    </row>
    <row r="266" spans="1:6">
      <c r="A266" s="149" t="s">
        <v>2962</v>
      </c>
      <c r="B266" s="144" t="s">
        <v>322</v>
      </c>
      <c r="C266" s="44">
        <v>16754</v>
      </c>
      <c r="D266" s="153">
        <f t="shared" si="4"/>
        <v>1.0471250000000001</v>
      </c>
      <c r="E266" s="43">
        <v>30924.191332583989</v>
      </c>
      <c r="F266" s="140">
        <v>0.98141301913267398</v>
      </c>
    </row>
    <row r="267" spans="1:6">
      <c r="A267" s="149" t="s">
        <v>2962</v>
      </c>
      <c r="B267" s="144" t="s">
        <v>323</v>
      </c>
      <c r="C267" s="44">
        <v>16755</v>
      </c>
      <c r="D267" s="153">
        <f t="shared" si="4"/>
        <v>1.0471874999999999</v>
      </c>
      <c r="E267" s="43">
        <v>30926.747018047838</v>
      </c>
      <c r="F267" s="140">
        <v>0.97978302450343335</v>
      </c>
    </row>
    <row r="268" spans="1:6">
      <c r="A268" s="149" t="s">
        <v>2962</v>
      </c>
      <c r="B268" s="144" t="s">
        <v>324</v>
      </c>
      <c r="C268" s="44">
        <v>16755</v>
      </c>
      <c r="D268" s="153">
        <f t="shared" si="4"/>
        <v>1.0471874999999999</v>
      </c>
      <c r="E268" s="43">
        <v>30926.747018047838</v>
      </c>
      <c r="F268" s="140">
        <v>0.97978302450343335</v>
      </c>
    </row>
    <row r="269" spans="1:6">
      <c r="A269" s="149" t="s">
        <v>2962</v>
      </c>
      <c r="B269" s="144" t="s">
        <v>325</v>
      </c>
      <c r="C269" s="44">
        <v>16755</v>
      </c>
      <c r="D269" s="153">
        <f t="shared" si="4"/>
        <v>1.0471874999999999</v>
      </c>
      <c r="E269" s="43">
        <v>30926.747018047838</v>
      </c>
      <c r="F269" s="140">
        <v>0.97978302450343335</v>
      </c>
    </row>
    <row r="270" spans="1:6">
      <c r="A270" s="149" t="s">
        <v>2962</v>
      </c>
      <c r="B270" s="144" t="s">
        <v>326</v>
      </c>
      <c r="C270" s="44">
        <v>16756</v>
      </c>
      <c r="D270" s="153">
        <f t="shared" si="4"/>
        <v>1.04725</v>
      </c>
      <c r="E270" s="43">
        <v>30929.303022732951</v>
      </c>
      <c r="F270" s="140">
        <v>0.97815297763861508</v>
      </c>
    </row>
    <row r="271" spans="1:6">
      <c r="A271" s="149" t="s">
        <v>2962</v>
      </c>
      <c r="B271" s="144" t="s">
        <v>327</v>
      </c>
      <c r="C271" s="44">
        <v>16756</v>
      </c>
      <c r="D271" s="153">
        <f t="shared" si="4"/>
        <v>1.04725</v>
      </c>
      <c r="E271" s="43">
        <v>30929.303022732951</v>
      </c>
      <c r="F271" s="140">
        <v>0.97815297763861508</v>
      </c>
    </row>
    <row r="272" spans="1:6">
      <c r="A272" s="149" t="s">
        <v>2962</v>
      </c>
      <c r="B272" s="144" t="s">
        <v>328</v>
      </c>
      <c r="C272" s="44">
        <v>16757</v>
      </c>
      <c r="D272" s="153">
        <f t="shared" si="4"/>
        <v>1.0473125000000001</v>
      </c>
      <c r="E272" s="43">
        <v>30931.859346699144</v>
      </c>
      <c r="F272" s="140">
        <v>0.97652287853003372</v>
      </c>
    </row>
    <row r="273" spans="1:6">
      <c r="A273" s="149" t="s">
        <v>2962</v>
      </c>
      <c r="B273" s="144" t="s">
        <v>329</v>
      </c>
      <c r="C273" s="44">
        <v>16757</v>
      </c>
      <c r="D273" s="153">
        <f t="shared" si="4"/>
        <v>1.0473125000000001</v>
      </c>
      <c r="E273" s="43">
        <v>30931.859346699144</v>
      </c>
      <c r="F273" s="140">
        <v>0.97652287853003372</v>
      </c>
    </row>
    <row r="274" spans="1:6">
      <c r="A274" s="149" t="s">
        <v>2962</v>
      </c>
      <c r="B274" s="144" t="s">
        <v>330</v>
      </c>
      <c r="C274" s="44">
        <v>16757</v>
      </c>
      <c r="D274" s="153">
        <f t="shared" si="4"/>
        <v>1.0473125000000001</v>
      </c>
      <c r="E274" s="43">
        <v>30931.859346699144</v>
      </c>
      <c r="F274" s="140">
        <v>0.97652287853003372</v>
      </c>
    </row>
    <row r="275" spans="1:6">
      <c r="A275" s="149" t="s">
        <v>2962</v>
      </c>
      <c r="B275" s="144" t="s">
        <v>331</v>
      </c>
      <c r="C275" s="44">
        <v>16758</v>
      </c>
      <c r="D275" s="153">
        <f t="shared" si="4"/>
        <v>1.0473749999999999</v>
      </c>
      <c r="E275" s="43">
        <v>30934.415990006248</v>
      </c>
      <c r="F275" s="140">
        <v>0.9748927271696175</v>
      </c>
    </row>
    <row r="276" spans="1:6">
      <c r="A276" s="149" t="s">
        <v>2962</v>
      </c>
      <c r="B276" s="144" t="s">
        <v>332</v>
      </c>
      <c r="C276" s="44">
        <v>16758</v>
      </c>
      <c r="D276" s="153">
        <f t="shared" si="4"/>
        <v>1.0473749999999999</v>
      </c>
      <c r="E276" s="43">
        <v>30934.415990006248</v>
      </c>
      <c r="F276" s="140">
        <v>0.9748927271696175</v>
      </c>
    </row>
    <row r="277" spans="1:6">
      <c r="A277" s="149" t="s">
        <v>2962</v>
      </c>
      <c r="B277" s="144" t="s">
        <v>333</v>
      </c>
      <c r="C277" s="44">
        <v>16758</v>
      </c>
      <c r="D277" s="153">
        <f t="shared" si="4"/>
        <v>1.0473749999999999</v>
      </c>
      <c r="E277" s="43">
        <v>30934.415990006248</v>
      </c>
      <c r="F277" s="140">
        <v>0.9748927271696175</v>
      </c>
    </row>
    <row r="278" spans="1:6">
      <c r="A278" s="149" t="s">
        <v>2962</v>
      </c>
      <c r="B278" s="144" t="s">
        <v>334</v>
      </c>
      <c r="C278" s="44">
        <v>16759</v>
      </c>
      <c r="D278" s="153">
        <f t="shared" si="4"/>
        <v>1.0474375</v>
      </c>
      <c r="E278" s="43">
        <v>30936.972952714099</v>
      </c>
      <c r="F278" s="140">
        <v>0.97326252354929466</v>
      </c>
    </row>
    <row r="279" spans="1:6">
      <c r="A279" s="149" t="s">
        <v>2962</v>
      </c>
      <c r="B279" s="144" t="s">
        <v>335</v>
      </c>
      <c r="C279" s="44">
        <v>16759</v>
      </c>
      <c r="D279" s="153">
        <f t="shared" si="4"/>
        <v>1.0474375</v>
      </c>
      <c r="E279" s="43">
        <v>30936.972952714099</v>
      </c>
      <c r="F279" s="140">
        <v>0.97326252354929466</v>
      </c>
    </row>
    <row r="280" spans="1:6">
      <c r="A280" s="149" t="s">
        <v>2962</v>
      </c>
      <c r="B280" s="144" t="s">
        <v>336</v>
      </c>
      <c r="C280" s="44">
        <v>16759</v>
      </c>
      <c r="D280" s="153">
        <f t="shared" si="4"/>
        <v>1.0474375</v>
      </c>
      <c r="E280" s="43">
        <v>30936.972952714099</v>
      </c>
      <c r="F280" s="140">
        <v>0.97326252354929466</v>
      </c>
    </row>
    <row r="281" spans="1:6">
      <c r="A281" s="149" t="s">
        <v>2962</v>
      </c>
      <c r="B281" s="144" t="s">
        <v>337</v>
      </c>
      <c r="C281" s="44">
        <v>16760</v>
      </c>
      <c r="D281" s="153">
        <f t="shared" si="4"/>
        <v>1.0475000000000001</v>
      </c>
      <c r="E281" s="43">
        <v>30939.530234882564</v>
      </c>
      <c r="F281" s="140">
        <v>0.97163226766093658</v>
      </c>
    </row>
    <row r="282" spans="1:6">
      <c r="A282" s="149" t="s">
        <v>2962</v>
      </c>
      <c r="B282" s="144" t="s">
        <v>338</v>
      </c>
      <c r="C282" s="44">
        <v>16760</v>
      </c>
      <c r="D282" s="153">
        <f t="shared" si="4"/>
        <v>1.0475000000000001</v>
      </c>
      <c r="E282" s="43">
        <v>30939.530234882564</v>
      </c>
      <c r="F282" s="140">
        <v>0.97163226766093658</v>
      </c>
    </row>
    <row r="283" spans="1:6">
      <c r="A283" s="149" t="s">
        <v>2962</v>
      </c>
      <c r="B283" s="144" t="s">
        <v>339</v>
      </c>
      <c r="C283" s="44">
        <v>16760</v>
      </c>
      <c r="D283" s="153">
        <f t="shared" si="4"/>
        <v>1.0475000000000001</v>
      </c>
      <c r="E283" s="43">
        <v>30939.530234882564</v>
      </c>
      <c r="F283" s="140">
        <v>0.97163226766093658</v>
      </c>
    </row>
    <row r="284" spans="1:6">
      <c r="A284" s="149" t="s">
        <v>2962</v>
      </c>
      <c r="B284" s="144" t="s">
        <v>340</v>
      </c>
      <c r="C284" s="44">
        <v>16760</v>
      </c>
      <c r="D284" s="153">
        <f t="shared" si="4"/>
        <v>1.0475000000000001</v>
      </c>
      <c r="E284" s="43">
        <v>30939.530234882564</v>
      </c>
      <c r="F284" s="140">
        <v>0.97163226766093658</v>
      </c>
    </row>
    <row r="285" spans="1:6">
      <c r="A285" s="149" t="s">
        <v>2962</v>
      </c>
      <c r="B285" s="144" t="s">
        <v>341</v>
      </c>
      <c r="C285" s="44">
        <v>16761</v>
      </c>
      <c r="D285" s="153">
        <f t="shared" si="4"/>
        <v>1.0475625</v>
      </c>
      <c r="E285" s="43">
        <v>30942.0878365715</v>
      </c>
      <c r="F285" s="140">
        <v>0.97000195949652834</v>
      </c>
    </row>
    <row r="286" spans="1:6">
      <c r="A286" s="149" t="s">
        <v>2962</v>
      </c>
      <c r="B286" s="144" t="s">
        <v>342</v>
      </c>
      <c r="C286" s="44">
        <v>16761</v>
      </c>
      <c r="D286" s="153">
        <f t="shared" si="4"/>
        <v>1.0475625</v>
      </c>
      <c r="E286" s="43">
        <v>30942.0878365715</v>
      </c>
      <c r="F286" s="140">
        <v>0.97000195949652834</v>
      </c>
    </row>
    <row r="287" spans="1:6">
      <c r="A287" s="149" t="s">
        <v>2962</v>
      </c>
      <c r="B287" s="144" t="s">
        <v>343</v>
      </c>
      <c r="C287" s="44">
        <v>16761</v>
      </c>
      <c r="D287" s="153">
        <f t="shared" si="4"/>
        <v>1.0475625</v>
      </c>
      <c r="E287" s="43">
        <v>30942.0878365715</v>
      </c>
      <c r="F287" s="140">
        <v>0.97000195949652834</v>
      </c>
    </row>
    <row r="288" spans="1:6">
      <c r="A288" s="149" t="s">
        <v>2962</v>
      </c>
      <c r="B288" s="144" t="s">
        <v>344</v>
      </c>
      <c r="C288" s="44">
        <v>16761</v>
      </c>
      <c r="D288" s="153">
        <f t="shared" si="4"/>
        <v>1.0475625</v>
      </c>
      <c r="E288" s="43">
        <v>30942.0878365715</v>
      </c>
      <c r="F288" s="140">
        <v>0.97000195949652834</v>
      </c>
    </row>
    <row r="289" spans="1:6">
      <c r="A289" s="149" t="s">
        <v>2962</v>
      </c>
      <c r="B289" s="144" t="s">
        <v>345</v>
      </c>
      <c r="C289" s="44">
        <v>16762</v>
      </c>
      <c r="D289" s="153">
        <f t="shared" si="4"/>
        <v>1.047625</v>
      </c>
      <c r="E289" s="43">
        <v>30944.645757840808</v>
      </c>
      <c r="F289" s="140">
        <v>0.9683715990478845</v>
      </c>
    </row>
    <row r="290" spans="1:6">
      <c r="A290" s="149" t="s">
        <v>2962</v>
      </c>
      <c r="B290" s="144" t="s">
        <v>346</v>
      </c>
      <c r="C290" s="44">
        <v>16762</v>
      </c>
      <c r="D290" s="153">
        <f t="shared" si="4"/>
        <v>1.047625</v>
      </c>
      <c r="E290" s="43">
        <v>30944.645757840808</v>
      </c>
      <c r="F290" s="140">
        <v>0.9683715990478845</v>
      </c>
    </row>
    <row r="291" spans="1:6">
      <c r="A291" s="149" t="s">
        <v>2962</v>
      </c>
      <c r="B291" s="144" t="s">
        <v>347</v>
      </c>
      <c r="C291" s="44">
        <v>16762</v>
      </c>
      <c r="D291" s="153">
        <f t="shared" si="4"/>
        <v>1.047625</v>
      </c>
      <c r="E291" s="43">
        <v>30944.645757840808</v>
      </c>
      <c r="F291" s="140">
        <v>0.9683715990478845</v>
      </c>
    </row>
    <row r="292" spans="1:6">
      <c r="A292" s="149" t="s">
        <v>2962</v>
      </c>
      <c r="B292" s="144" t="s">
        <v>348</v>
      </c>
      <c r="C292" s="44">
        <v>16762</v>
      </c>
      <c r="D292" s="153">
        <f t="shared" si="4"/>
        <v>1.047625</v>
      </c>
      <c r="E292" s="43">
        <v>30944.645757840808</v>
      </c>
      <c r="F292" s="140">
        <v>0.9683715990478845</v>
      </c>
    </row>
    <row r="293" spans="1:6">
      <c r="A293" s="149" t="s">
        <v>2962</v>
      </c>
      <c r="B293" s="144" t="s">
        <v>349</v>
      </c>
      <c r="C293" s="44">
        <v>16763</v>
      </c>
      <c r="D293" s="153">
        <f t="shared" si="4"/>
        <v>1.0476875000000001</v>
      </c>
      <c r="E293" s="43">
        <v>30947.203998750396</v>
      </c>
      <c r="F293" s="140">
        <v>0.96674118630687644</v>
      </c>
    </row>
    <row r="294" spans="1:6">
      <c r="A294" s="149" t="s">
        <v>2962</v>
      </c>
      <c r="B294" s="144" t="s">
        <v>350</v>
      </c>
      <c r="C294" s="44">
        <v>16763</v>
      </c>
      <c r="D294" s="153">
        <f t="shared" si="4"/>
        <v>1.0476875000000001</v>
      </c>
      <c r="E294" s="43">
        <v>30947.203998750396</v>
      </c>
      <c r="F294" s="140">
        <v>0.96674118630687644</v>
      </c>
    </row>
    <row r="295" spans="1:6">
      <c r="A295" s="149" t="s">
        <v>2962</v>
      </c>
      <c r="B295" s="144" t="s">
        <v>351</v>
      </c>
      <c r="C295" s="44">
        <v>16763</v>
      </c>
      <c r="D295" s="153">
        <f t="shared" si="4"/>
        <v>1.0476875000000001</v>
      </c>
      <c r="E295" s="43">
        <v>30947.203998750396</v>
      </c>
      <c r="F295" s="140">
        <v>0.96674118630687644</v>
      </c>
    </row>
    <row r="296" spans="1:6">
      <c r="A296" s="149" t="s">
        <v>2962</v>
      </c>
      <c r="B296" s="144" t="s">
        <v>352</v>
      </c>
      <c r="C296" s="44">
        <v>16763</v>
      </c>
      <c r="D296" s="153">
        <f t="shared" si="4"/>
        <v>1.0476875000000001</v>
      </c>
      <c r="E296" s="43">
        <v>30947.203998750396</v>
      </c>
      <c r="F296" s="140">
        <v>0.96674118630687644</v>
      </c>
    </row>
    <row r="297" spans="1:6">
      <c r="A297" s="149" t="s">
        <v>2962</v>
      </c>
      <c r="B297" s="144" t="s">
        <v>353</v>
      </c>
      <c r="C297" s="44">
        <v>16764</v>
      </c>
      <c r="D297" s="153">
        <f t="shared" si="4"/>
        <v>1.04775</v>
      </c>
      <c r="E297" s="43">
        <v>30949.762559360159</v>
      </c>
      <c r="F297" s="140">
        <v>0.96511072126548925</v>
      </c>
    </row>
    <row r="298" spans="1:6">
      <c r="A298" s="149" t="s">
        <v>2962</v>
      </c>
      <c r="B298" s="144" t="s">
        <v>354</v>
      </c>
      <c r="C298" s="44">
        <v>16764</v>
      </c>
      <c r="D298" s="153">
        <f t="shared" si="4"/>
        <v>1.04775</v>
      </c>
      <c r="E298" s="43">
        <v>30949.762559360159</v>
      </c>
      <c r="F298" s="140">
        <v>0.96511072126548925</v>
      </c>
    </row>
    <row r="299" spans="1:6">
      <c r="A299" s="149" t="s">
        <v>2962</v>
      </c>
      <c r="B299" s="144" t="s">
        <v>355</v>
      </c>
      <c r="C299" s="44">
        <v>16764</v>
      </c>
      <c r="D299" s="153">
        <f t="shared" si="4"/>
        <v>1.04775</v>
      </c>
      <c r="E299" s="43">
        <v>30949.762559360159</v>
      </c>
      <c r="F299" s="140">
        <v>0.96511072126548925</v>
      </c>
    </row>
    <row r="300" spans="1:6">
      <c r="A300" s="149" t="s">
        <v>2962</v>
      </c>
      <c r="B300" s="144" t="s">
        <v>356</v>
      </c>
      <c r="C300" s="44">
        <v>16764</v>
      </c>
      <c r="D300" s="153">
        <f t="shared" si="4"/>
        <v>1.04775</v>
      </c>
      <c r="E300" s="43">
        <v>30949.762559360159</v>
      </c>
      <c r="F300" s="140">
        <v>0.96511072126548925</v>
      </c>
    </row>
    <row r="301" spans="1:6">
      <c r="A301" s="149" t="s">
        <v>2962</v>
      </c>
      <c r="B301" s="145" t="s">
        <v>357</v>
      </c>
      <c r="C301" s="142">
        <v>16764</v>
      </c>
      <c r="D301" s="153">
        <f t="shared" si="4"/>
        <v>1.04775</v>
      </c>
      <c r="E301" s="143">
        <v>30949.762559360159</v>
      </c>
      <c r="F301" s="141">
        <v>0.96511072126548925</v>
      </c>
    </row>
    <row r="302" spans="1:6">
      <c r="A302" s="149" t="s">
        <v>2962</v>
      </c>
      <c r="B302" s="144" t="s">
        <v>358</v>
      </c>
      <c r="C302" s="44">
        <v>16764</v>
      </c>
      <c r="D302" s="153">
        <f t="shared" si="4"/>
        <v>1.04775</v>
      </c>
      <c r="E302" s="43">
        <v>30949.762559360159</v>
      </c>
      <c r="F302" s="140">
        <v>0.96511072126548925</v>
      </c>
    </row>
    <row r="303" spans="1:6">
      <c r="A303" s="149" t="s">
        <v>2962</v>
      </c>
      <c r="B303" s="144" t="s">
        <v>359</v>
      </c>
      <c r="C303" s="44">
        <v>16765</v>
      </c>
      <c r="D303" s="153">
        <f t="shared" si="4"/>
        <v>1.0478125</v>
      </c>
      <c r="E303" s="43">
        <v>30952.321439730051</v>
      </c>
      <c r="F303" s="140">
        <v>0.96348020391553746</v>
      </c>
    </row>
    <row r="304" spans="1:6">
      <c r="A304" s="149" t="s">
        <v>2962</v>
      </c>
      <c r="B304" s="144" t="s">
        <v>360</v>
      </c>
      <c r="C304" s="44">
        <v>16765</v>
      </c>
      <c r="D304" s="153">
        <f t="shared" si="4"/>
        <v>1.0478125</v>
      </c>
      <c r="E304" s="43">
        <v>30952.321439730051</v>
      </c>
      <c r="F304" s="140">
        <v>0.96348020391553746</v>
      </c>
    </row>
    <row r="305" spans="1:6">
      <c r="A305" s="149" t="s">
        <v>2962</v>
      </c>
      <c r="B305" s="144" t="s">
        <v>361</v>
      </c>
      <c r="C305" s="44">
        <v>16765</v>
      </c>
      <c r="D305" s="153">
        <f t="shared" si="4"/>
        <v>1.0478125</v>
      </c>
      <c r="E305" s="43">
        <v>30952.321439730051</v>
      </c>
      <c r="F305" s="140">
        <v>0.96348020391553746</v>
      </c>
    </row>
    <row r="306" spans="1:6">
      <c r="A306" s="149" t="s">
        <v>2962</v>
      </c>
      <c r="B306" s="144" t="s">
        <v>362</v>
      </c>
      <c r="C306" s="44">
        <v>16765</v>
      </c>
      <c r="D306" s="153">
        <f t="shared" si="4"/>
        <v>1.0478125</v>
      </c>
      <c r="E306" s="43">
        <v>30952.321439730051</v>
      </c>
      <c r="F306" s="140">
        <v>0.96348020391553746</v>
      </c>
    </row>
    <row r="307" spans="1:6">
      <c r="A307" s="149" t="s">
        <v>2962</v>
      </c>
      <c r="B307" s="144" t="s">
        <v>363</v>
      </c>
      <c r="C307" s="44">
        <v>16765</v>
      </c>
      <c r="D307" s="153">
        <f t="shared" si="4"/>
        <v>1.0478125</v>
      </c>
      <c r="E307" s="43">
        <v>30952.321439730051</v>
      </c>
      <c r="F307" s="140">
        <v>0.96348020391553746</v>
      </c>
    </row>
    <row r="308" spans="1:6">
      <c r="A308" s="149" t="s">
        <v>2962</v>
      </c>
      <c r="B308" s="144" t="s">
        <v>364</v>
      </c>
      <c r="C308" s="44">
        <v>16765</v>
      </c>
      <c r="D308" s="153">
        <f t="shared" si="4"/>
        <v>1.0478125</v>
      </c>
      <c r="E308" s="43">
        <v>30952.321439730051</v>
      </c>
      <c r="F308" s="140">
        <v>0.96348020391553746</v>
      </c>
    </row>
    <row r="309" spans="1:6">
      <c r="A309" s="149" t="s">
        <v>2962</v>
      </c>
      <c r="B309" s="144" t="s">
        <v>365</v>
      </c>
      <c r="C309" s="44">
        <v>16766</v>
      </c>
      <c r="D309" s="153">
        <f t="shared" si="4"/>
        <v>1.0478750000000001</v>
      </c>
      <c r="E309" s="43">
        <v>30954.880639920015</v>
      </c>
      <c r="F309" s="140">
        <v>0.96184963424900616</v>
      </c>
    </row>
    <row r="310" spans="1:6">
      <c r="A310" s="149" t="s">
        <v>2962</v>
      </c>
      <c r="B310" s="144" t="s">
        <v>366</v>
      </c>
      <c r="C310" s="44">
        <v>16766</v>
      </c>
      <c r="D310" s="153">
        <f t="shared" si="4"/>
        <v>1.0478750000000001</v>
      </c>
      <c r="E310" s="43">
        <v>30954.880639920015</v>
      </c>
      <c r="F310" s="140">
        <v>0.96184963424900616</v>
      </c>
    </row>
    <row r="311" spans="1:6">
      <c r="A311" s="149" t="s">
        <v>2962</v>
      </c>
      <c r="B311" s="144" t="s">
        <v>367</v>
      </c>
      <c r="C311" s="44">
        <v>16766</v>
      </c>
      <c r="D311" s="153">
        <f t="shared" si="4"/>
        <v>1.0478750000000001</v>
      </c>
      <c r="E311" s="43">
        <v>30954.880639920015</v>
      </c>
      <c r="F311" s="140">
        <v>0.96184963424900616</v>
      </c>
    </row>
    <row r="312" spans="1:6">
      <c r="A312" s="149" t="s">
        <v>2962</v>
      </c>
      <c r="B312" s="144" t="s">
        <v>368</v>
      </c>
      <c r="C312" s="44">
        <v>16766</v>
      </c>
      <c r="D312" s="153">
        <f t="shared" si="4"/>
        <v>1.0478750000000001</v>
      </c>
      <c r="E312" s="43">
        <v>30954.880639920015</v>
      </c>
      <c r="F312" s="140">
        <v>0.96184963424900616</v>
      </c>
    </row>
    <row r="313" spans="1:6">
      <c r="A313" s="149" t="s">
        <v>2962</v>
      </c>
      <c r="B313" s="144" t="s">
        <v>369</v>
      </c>
      <c r="C313" s="44">
        <v>16766</v>
      </c>
      <c r="D313" s="153">
        <f t="shared" si="4"/>
        <v>1.0478750000000001</v>
      </c>
      <c r="E313" s="43">
        <v>30954.880639920015</v>
      </c>
      <c r="F313" s="140">
        <v>0.96184963424900616</v>
      </c>
    </row>
    <row r="314" spans="1:6">
      <c r="A314" s="149" t="s">
        <v>2962</v>
      </c>
      <c r="B314" s="144" t="s">
        <v>370</v>
      </c>
      <c r="C314" s="44">
        <v>16766</v>
      </c>
      <c r="D314" s="153">
        <f t="shared" si="4"/>
        <v>1.0478750000000001</v>
      </c>
      <c r="E314" s="43">
        <v>30954.880639920015</v>
      </c>
      <c r="F314" s="140">
        <v>0.96184963424900616</v>
      </c>
    </row>
    <row r="315" spans="1:6">
      <c r="A315" s="149" t="s">
        <v>2962</v>
      </c>
      <c r="B315" s="144" t="s">
        <v>371</v>
      </c>
      <c r="C315" s="44">
        <v>16766</v>
      </c>
      <c r="D315" s="153">
        <f t="shared" si="4"/>
        <v>1.0478750000000001</v>
      </c>
      <c r="E315" s="43">
        <v>30954.880639920015</v>
      </c>
      <c r="F315" s="140">
        <v>0.96184963424900616</v>
      </c>
    </row>
    <row r="316" spans="1:6">
      <c r="A316" s="149" t="s">
        <v>2962</v>
      </c>
      <c r="B316" s="144" t="s">
        <v>372</v>
      </c>
      <c r="C316" s="44">
        <v>16767</v>
      </c>
      <c r="D316" s="153">
        <f t="shared" si="4"/>
        <v>1.0479375</v>
      </c>
      <c r="E316" s="43">
        <v>30957.440159990001</v>
      </c>
      <c r="F316" s="140">
        <v>0.96021901225782358</v>
      </c>
    </row>
    <row r="317" spans="1:6">
      <c r="A317" s="149" t="s">
        <v>2962</v>
      </c>
      <c r="B317" s="144" t="s">
        <v>373</v>
      </c>
      <c r="C317" s="44">
        <v>16767</v>
      </c>
      <c r="D317" s="153">
        <f t="shared" si="4"/>
        <v>1.0479375</v>
      </c>
      <c r="E317" s="43">
        <v>30957.440159990001</v>
      </c>
      <c r="F317" s="140">
        <v>0.96021901225782358</v>
      </c>
    </row>
    <row r="318" spans="1:6">
      <c r="A318" s="149" t="s">
        <v>2962</v>
      </c>
      <c r="B318" s="144" t="s">
        <v>374</v>
      </c>
      <c r="C318" s="44">
        <v>16767</v>
      </c>
      <c r="D318" s="153">
        <f t="shared" si="4"/>
        <v>1.0479375</v>
      </c>
      <c r="E318" s="43">
        <v>30957.440159990001</v>
      </c>
      <c r="F318" s="140">
        <v>0.96021901225782358</v>
      </c>
    </row>
    <row r="319" spans="1:6">
      <c r="A319" s="149" t="s">
        <v>2962</v>
      </c>
      <c r="B319" s="144" t="s">
        <v>375</v>
      </c>
      <c r="C319" s="44">
        <v>16767</v>
      </c>
      <c r="D319" s="153">
        <f t="shared" si="4"/>
        <v>1.0479375</v>
      </c>
      <c r="E319" s="43">
        <v>30957.440159990001</v>
      </c>
      <c r="F319" s="140">
        <v>0.96021901225782358</v>
      </c>
    </row>
    <row r="320" spans="1:6">
      <c r="A320" s="149" t="s">
        <v>2962</v>
      </c>
      <c r="B320" s="144" t="s">
        <v>376</v>
      </c>
      <c r="C320" s="44">
        <v>16767</v>
      </c>
      <c r="D320" s="153">
        <f t="shared" si="4"/>
        <v>1.0479375</v>
      </c>
      <c r="E320" s="43">
        <v>30957.440159990001</v>
      </c>
      <c r="F320" s="140">
        <v>0.96021901225782358</v>
      </c>
    </row>
    <row r="321" spans="1:6">
      <c r="A321" s="149" t="s">
        <v>2962</v>
      </c>
      <c r="B321" s="144" t="s">
        <v>377</v>
      </c>
      <c r="C321" s="44">
        <v>16767</v>
      </c>
      <c r="D321" s="153">
        <f t="shared" si="4"/>
        <v>1.0479375</v>
      </c>
      <c r="E321" s="43">
        <v>30957.440159990001</v>
      </c>
      <c r="F321" s="140">
        <v>0.96021901225782358</v>
      </c>
    </row>
    <row r="322" spans="1:6">
      <c r="A322" s="149" t="s">
        <v>2962</v>
      </c>
      <c r="B322" s="144" t="s">
        <v>378</v>
      </c>
      <c r="C322" s="44">
        <v>16767</v>
      </c>
      <c r="D322" s="153">
        <f t="shared" si="4"/>
        <v>1.0479375</v>
      </c>
      <c r="E322" s="43">
        <v>30957.440159990001</v>
      </c>
      <c r="F322" s="140">
        <v>0.96021901225782358</v>
      </c>
    </row>
    <row r="323" spans="1:6">
      <c r="A323" s="149" t="s">
        <v>2962</v>
      </c>
      <c r="B323" s="144" t="s">
        <v>379</v>
      </c>
      <c r="C323" s="44">
        <v>16767</v>
      </c>
      <c r="D323" s="153">
        <f t="shared" si="4"/>
        <v>1.0479375</v>
      </c>
      <c r="E323" s="43">
        <v>30957.440159990001</v>
      </c>
      <c r="F323" s="140">
        <v>0.96021901225782358</v>
      </c>
    </row>
    <row r="324" spans="1:6">
      <c r="A324" s="149" t="s">
        <v>2962</v>
      </c>
      <c r="B324" s="144" t="s">
        <v>380</v>
      </c>
      <c r="C324" s="44">
        <v>16768</v>
      </c>
      <c r="D324" s="153">
        <f t="shared" si="4"/>
        <v>1.048</v>
      </c>
      <c r="E324" s="43">
        <v>30960</v>
      </c>
      <c r="F324" s="140">
        <v>0.95858833793369058</v>
      </c>
    </row>
    <row r="325" spans="1:6">
      <c r="A325" s="149" t="s">
        <v>2962</v>
      </c>
      <c r="B325" s="144" t="s">
        <v>381</v>
      </c>
      <c r="C325" s="44">
        <v>16768</v>
      </c>
      <c r="D325" s="153">
        <f t="shared" si="4"/>
        <v>1.048</v>
      </c>
      <c r="E325" s="43">
        <v>30960</v>
      </c>
      <c r="F325" s="140">
        <v>0.95858833793369058</v>
      </c>
    </row>
    <row r="326" spans="1:6">
      <c r="A326" s="149" t="s">
        <v>2962</v>
      </c>
      <c r="B326" s="144" t="s">
        <v>382</v>
      </c>
      <c r="C326" s="44">
        <v>16768</v>
      </c>
      <c r="D326" s="153">
        <f t="shared" si="4"/>
        <v>1.048</v>
      </c>
      <c r="E326" s="43">
        <v>30960</v>
      </c>
      <c r="F326" s="140">
        <v>0.95858833793369058</v>
      </c>
    </row>
    <row r="327" spans="1:6">
      <c r="A327" s="149" t="s">
        <v>2962</v>
      </c>
      <c r="B327" s="144" t="s">
        <v>383</v>
      </c>
      <c r="C327" s="44">
        <v>16768</v>
      </c>
      <c r="D327" s="153">
        <f t="shared" ref="D327:D390" si="5">C327/32768*4.096/2</f>
        <v>1.048</v>
      </c>
      <c r="E327" s="43">
        <v>30960</v>
      </c>
      <c r="F327" s="140">
        <v>0.95858833793369058</v>
      </c>
    </row>
    <row r="328" spans="1:6">
      <c r="A328" s="149" t="s">
        <v>2962</v>
      </c>
      <c r="B328" s="144" t="s">
        <v>384</v>
      </c>
      <c r="C328" s="44">
        <v>16768</v>
      </c>
      <c r="D328" s="153">
        <f t="shared" si="5"/>
        <v>1.048</v>
      </c>
      <c r="E328" s="43">
        <v>30960</v>
      </c>
      <c r="F328" s="140">
        <v>0.95858833793369058</v>
      </c>
    </row>
    <row r="329" spans="1:6">
      <c r="A329" s="149" t="s">
        <v>2962</v>
      </c>
      <c r="B329" s="144" t="s">
        <v>385</v>
      </c>
      <c r="C329" s="44">
        <v>16768</v>
      </c>
      <c r="D329" s="153">
        <f t="shared" si="5"/>
        <v>1.048</v>
      </c>
      <c r="E329" s="43">
        <v>30960</v>
      </c>
      <c r="F329" s="140">
        <v>0.95858833793369058</v>
      </c>
    </row>
    <row r="330" spans="1:6">
      <c r="A330" s="149" t="s">
        <v>2962</v>
      </c>
      <c r="B330" s="144" t="s">
        <v>386</v>
      </c>
      <c r="C330" s="44">
        <v>16768</v>
      </c>
      <c r="D330" s="153">
        <f t="shared" si="5"/>
        <v>1.048</v>
      </c>
      <c r="E330" s="43">
        <v>30960</v>
      </c>
      <c r="F330" s="140">
        <v>0.95858833793369058</v>
      </c>
    </row>
    <row r="331" spans="1:6">
      <c r="A331" s="149" t="s">
        <v>2962</v>
      </c>
      <c r="B331" s="144" t="s">
        <v>387</v>
      </c>
      <c r="C331" s="44">
        <v>16768</v>
      </c>
      <c r="D331" s="153">
        <f t="shared" si="5"/>
        <v>1.048</v>
      </c>
      <c r="E331" s="43">
        <v>30960</v>
      </c>
      <c r="F331" s="140">
        <v>0.95858833793369058</v>
      </c>
    </row>
    <row r="332" spans="1:6">
      <c r="A332" s="149" t="s">
        <v>2962</v>
      </c>
      <c r="B332" s="144" t="s">
        <v>388</v>
      </c>
      <c r="C332" s="44">
        <v>16768</v>
      </c>
      <c r="D332" s="153">
        <f t="shared" si="5"/>
        <v>1.048</v>
      </c>
      <c r="E332" s="43">
        <v>30960</v>
      </c>
      <c r="F332" s="140">
        <v>0.95858833793369058</v>
      </c>
    </row>
    <row r="333" spans="1:6">
      <c r="A333" s="149" t="s">
        <v>2962</v>
      </c>
      <c r="B333" s="144" t="s">
        <v>389</v>
      </c>
      <c r="C333" s="44">
        <v>16768</v>
      </c>
      <c r="D333" s="153">
        <f t="shared" si="5"/>
        <v>1.048</v>
      </c>
      <c r="E333" s="43">
        <v>30960</v>
      </c>
      <c r="F333" s="140">
        <v>0.95858833793369058</v>
      </c>
    </row>
    <row r="334" spans="1:6">
      <c r="A334" s="149" t="s">
        <v>2962</v>
      </c>
      <c r="B334" s="144" t="s">
        <v>390</v>
      </c>
      <c r="C334" s="44">
        <v>16769</v>
      </c>
      <c r="D334" s="153">
        <f t="shared" si="5"/>
        <v>1.0480625000000001</v>
      </c>
      <c r="E334" s="43">
        <v>30962.560160010005</v>
      </c>
      <c r="F334" s="140">
        <v>0.95695761126859225</v>
      </c>
    </row>
    <row r="335" spans="1:6">
      <c r="A335" s="149" t="s">
        <v>2962</v>
      </c>
      <c r="B335" s="144" t="s">
        <v>391</v>
      </c>
      <c r="C335" s="44">
        <v>16769</v>
      </c>
      <c r="D335" s="153">
        <f t="shared" si="5"/>
        <v>1.0480625000000001</v>
      </c>
      <c r="E335" s="43">
        <v>30962.560160010005</v>
      </c>
      <c r="F335" s="140">
        <v>0.95695761126859225</v>
      </c>
    </row>
    <row r="336" spans="1:6">
      <c r="A336" s="149" t="s">
        <v>2962</v>
      </c>
      <c r="B336" s="144" t="s">
        <v>392</v>
      </c>
      <c r="C336" s="44">
        <v>16769</v>
      </c>
      <c r="D336" s="153">
        <f t="shared" si="5"/>
        <v>1.0480625000000001</v>
      </c>
      <c r="E336" s="43">
        <v>30962.560160010005</v>
      </c>
      <c r="F336" s="140">
        <v>0.95695761126859225</v>
      </c>
    </row>
    <row r="337" spans="1:6">
      <c r="A337" s="149" t="s">
        <v>2962</v>
      </c>
      <c r="B337" s="144" t="s">
        <v>393</v>
      </c>
      <c r="C337" s="44">
        <v>16769</v>
      </c>
      <c r="D337" s="153">
        <f t="shared" si="5"/>
        <v>1.0480625000000001</v>
      </c>
      <c r="E337" s="43">
        <v>30962.560160010005</v>
      </c>
      <c r="F337" s="140">
        <v>0.95695761126859225</v>
      </c>
    </row>
    <row r="338" spans="1:6">
      <c r="A338" s="149" t="s">
        <v>2962</v>
      </c>
      <c r="B338" s="144" t="s">
        <v>394</v>
      </c>
      <c r="C338" s="44">
        <v>16769</v>
      </c>
      <c r="D338" s="153">
        <f t="shared" si="5"/>
        <v>1.0480625000000001</v>
      </c>
      <c r="E338" s="43">
        <v>30962.560160010005</v>
      </c>
      <c r="F338" s="140">
        <v>0.95695761126859225</v>
      </c>
    </row>
    <row r="339" spans="1:6">
      <c r="A339" s="149" t="s">
        <v>2962</v>
      </c>
      <c r="B339" s="144" t="s">
        <v>395</v>
      </c>
      <c r="C339" s="44">
        <v>16769</v>
      </c>
      <c r="D339" s="153">
        <f t="shared" si="5"/>
        <v>1.0480625000000001</v>
      </c>
      <c r="E339" s="43">
        <v>30962.560160010005</v>
      </c>
      <c r="F339" s="140">
        <v>0.95695761126859225</v>
      </c>
    </row>
    <row r="340" spans="1:6">
      <c r="A340" s="149" t="s">
        <v>2962</v>
      </c>
      <c r="B340" s="144" t="s">
        <v>396</v>
      </c>
      <c r="C340" s="44">
        <v>16769</v>
      </c>
      <c r="D340" s="153">
        <f t="shared" si="5"/>
        <v>1.0480625000000001</v>
      </c>
      <c r="E340" s="43">
        <v>30962.560160010005</v>
      </c>
      <c r="F340" s="140">
        <v>0.95695761126859225</v>
      </c>
    </row>
    <row r="341" spans="1:6">
      <c r="A341" s="149" t="s">
        <v>2962</v>
      </c>
      <c r="B341" s="144" t="s">
        <v>397</v>
      </c>
      <c r="C341" s="44">
        <v>16769</v>
      </c>
      <c r="D341" s="153">
        <f t="shared" si="5"/>
        <v>1.0480625000000001</v>
      </c>
      <c r="E341" s="43">
        <v>30962.560160010005</v>
      </c>
      <c r="F341" s="140">
        <v>0.95695761126859225</v>
      </c>
    </row>
    <row r="342" spans="1:6">
      <c r="A342" s="149" t="s">
        <v>2962</v>
      </c>
      <c r="B342" s="144" t="s">
        <v>398</v>
      </c>
      <c r="C342" s="44">
        <v>16769</v>
      </c>
      <c r="D342" s="153">
        <f t="shared" si="5"/>
        <v>1.0480625000000001</v>
      </c>
      <c r="E342" s="43">
        <v>30962.560160010005</v>
      </c>
      <c r="F342" s="140">
        <v>0.95695761126859225</v>
      </c>
    </row>
    <row r="343" spans="1:6">
      <c r="A343" s="149" t="s">
        <v>2962</v>
      </c>
      <c r="B343" s="144" t="s">
        <v>399</v>
      </c>
      <c r="C343" s="44">
        <v>16769</v>
      </c>
      <c r="D343" s="153">
        <f t="shared" si="5"/>
        <v>1.0480625000000001</v>
      </c>
      <c r="E343" s="43">
        <v>30962.560160010005</v>
      </c>
      <c r="F343" s="140">
        <v>0.95695761126859225</v>
      </c>
    </row>
    <row r="344" spans="1:6">
      <c r="A344" s="149" t="s">
        <v>2962</v>
      </c>
      <c r="B344" s="144" t="s">
        <v>400</v>
      </c>
      <c r="C344" s="44">
        <v>16769</v>
      </c>
      <c r="D344" s="153">
        <f t="shared" si="5"/>
        <v>1.0480625000000001</v>
      </c>
      <c r="E344" s="43">
        <v>30962.560160010005</v>
      </c>
      <c r="F344" s="140">
        <v>0.95695761126859225</v>
      </c>
    </row>
    <row r="345" spans="1:6">
      <c r="A345" s="149" t="s">
        <v>2962</v>
      </c>
      <c r="B345" s="144" t="s">
        <v>401</v>
      </c>
      <c r="C345" s="44">
        <v>16770</v>
      </c>
      <c r="D345" s="153">
        <f t="shared" si="5"/>
        <v>1.048125</v>
      </c>
      <c r="E345" s="43">
        <v>30965.120640080011</v>
      </c>
      <c r="F345" s="140">
        <v>0.9553268322544568</v>
      </c>
    </row>
    <row r="346" spans="1:6">
      <c r="A346" s="149" t="s">
        <v>2962</v>
      </c>
      <c r="B346" s="144" t="s">
        <v>402</v>
      </c>
      <c r="C346" s="44">
        <v>16770</v>
      </c>
      <c r="D346" s="153">
        <f t="shared" si="5"/>
        <v>1.048125</v>
      </c>
      <c r="E346" s="43">
        <v>30965.120640080011</v>
      </c>
      <c r="F346" s="140">
        <v>0.9553268322544568</v>
      </c>
    </row>
    <row r="347" spans="1:6">
      <c r="A347" s="149" t="s">
        <v>2962</v>
      </c>
      <c r="B347" s="144" t="s">
        <v>403</v>
      </c>
      <c r="C347" s="44">
        <v>16769</v>
      </c>
      <c r="D347" s="153">
        <f t="shared" si="5"/>
        <v>1.0480625000000001</v>
      </c>
      <c r="E347" s="43">
        <v>30962.560160010005</v>
      </c>
      <c r="F347" s="140">
        <v>0.95695761126859225</v>
      </c>
    </row>
    <row r="348" spans="1:6">
      <c r="A348" s="149" t="s">
        <v>2962</v>
      </c>
      <c r="B348" s="144" t="s">
        <v>404</v>
      </c>
      <c r="C348" s="44">
        <v>16770</v>
      </c>
      <c r="D348" s="153">
        <f t="shared" si="5"/>
        <v>1.048125</v>
      </c>
      <c r="E348" s="43">
        <v>30965.120640080011</v>
      </c>
      <c r="F348" s="140">
        <v>0.9553268322544568</v>
      </c>
    </row>
    <row r="349" spans="1:6">
      <c r="A349" s="149" t="s">
        <v>2962</v>
      </c>
      <c r="B349" s="144" t="s">
        <v>405</v>
      </c>
      <c r="C349" s="44">
        <v>16770</v>
      </c>
      <c r="D349" s="153">
        <f t="shared" si="5"/>
        <v>1.048125</v>
      </c>
      <c r="E349" s="43">
        <v>30965.120640080011</v>
      </c>
      <c r="F349" s="140">
        <v>0.9553268322544568</v>
      </c>
    </row>
    <row r="350" spans="1:6">
      <c r="A350" s="149" t="s">
        <v>2962</v>
      </c>
      <c r="B350" s="144" t="s">
        <v>406</v>
      </c>
      <c r="C350" s="44">
        <v>16770</v>
      </c>
      <c r="D350" s="153">
        <f t="shared" si="5"/>
        <v>1.048125</v>
      </c>
      <c r="E350" s="43">
        <v>30965.120640080011</v>
      </c>
      <c r="F350" s="140">
        <v>0.9553268322544568</v>
      </c>
    </row>
    <row r="351" spans="1:6">
      <c r="A351" s="149" t="s">
        <v>2962</v>
      </c>
      <c r="B351" s="144" t="s">
        <v>407</v>
      </c>
      <c r="C351" s="44">
        <v>16770</v>
      </c>
      <c r="D351" s="153">
        <f t="shared" si="5"/>
        <v>1.048125</v>
      </c>
      <c r="E351" s="43">
        <v>30965.120640080011</v>
      </c>
      <c r="F351" s="140">
        <v>0.9553268322544568</v>
      </c>
    </row>
    <row r="352" spans="1:6">
      <c r="A352" s="149" t="s">
        <v>2962</v>
      </c>
      <c r="B352" s="144" t="s">
        <v>408</v>
      </c>
      <c r="C352" s="44">
        <v>16770</v>
      </c>
      <c r="D352" s="153">
        <f t="shared" si="5"/>
        <v>1.048125</v>
      </c>
      <c r="E352" s="43">
        <v>30965.120640080011</v>
      </c>
      <c r="F352" s="140">
        <v>0.9553268322544568</v>
      </c>
    </row>
    <row r="353" spans="1:6">
      <c r="A353" s="149" t="s">
        <v>2962</v>
      </c>
      <c r="B353" s="144" t="s">
        <v>409</v>
      </c>
      <c r="C353" s="44">
        <v>16770</v>
      </c>
      <c r="D353" s="153">
        <f t="shared" si="5"/>
        <v>1.048125</v>
      </c>
      <c r="E353" s="43">
        <v>30965.120640080011</v>
      </c>
      <c r="F353" s="140">
        <v>0.9553268322544568</v>
      </c>
    </row>
    <row r="354" spans="1:6">
      <c r="A354" s="149" t="s">
        <v>2962</v>
      </c>
      <c r="B354" s="144" t="s">
        <v>410</v>
      </c>
      <c r="C354" s="44">
        <v>16770</v>
      </c>
      <c r="D354" s="153">
        <f t="shared" si="5"/>
        <v>1.048125</v>
      </c>
      <c r="E354" s="43">
        <v>30965.120640080011</v>
      </c>
      <c r="F354" s="140">
        <v>0.9553268322544568</v>
      </c>
    </row>
    <row r="355" spans="1:6">
      <c r="A355" s="149" t="s">
        <v>2962</v>
      </c>
      <c r="B355" s="144" t="s">
        <v>411</v>
      </c>
      <c r="C355" s="44">
        <v>16770</v>
      </c>
      <c r="D355" s="153">
        <f t="shared" si="5"/>
        <v>1.048125</v>
      </c>
      <c r="E355" s="43">
        <v>30965.120640080011</v>
      </c>
      <c r="F355" s="140">
        <v>0.9553268322544568</v>
      </c>
    </row>
    <row r="356" spans="1:6">
      <c r="A356" s="149" t="s">
        <v>2962</v>
      </c>
      <c r="B356" s="144" t="s">
        <v>412</v>
      </c>
      <c r="C356" s="44">
        <v>16770</v>
      </c>
      <c r="D356" s="153">
        <f t="shared" si="5"/>
        <v>1.048125</v>
      </c>
      <c r="E356" s="43">
        <v>30965.120640080011</v>
      </c>
      <c r="F356" s="140">
        <v>0.9553268322544568</v>
      </c>
    </row>
    <row r="357" spans="1:6">
      <c r="A357" s="149" t="s">
        <v>2962</v>
      </c>
      <c r="B357" s="144" t="s">
        <v>413</v>
      </c>
      <c r="C357" s="44">
        <v>16770</v>
      </c>
      <c r="D357" s="153">
        <f t="shared" si="5"/>
        <v>1.048125</v>
      </c>
      <c r="E357" s="43">
        <v>30965.120640080011</v>
      </c>
      <c r="F357" s="140">
        <v>0.9553268322544568</v>
      </c>
    </row>
    <row r="358" spans="1:6">
      <c r="A358" s="149" t="s">
        <v>2962</v>
      </c>
      <c r="B358" s="144" t="s">
        <v>414</v>
      </c>
      <c r="C358" s="44">
        <v>16770</v>
      </c>
      <c r="D358" s="153">
        <f t="shared" si="5"/>
        <v>1.048125</v>
      </c>
      <c r="E358" s="43">
        <v>30965.120640080011</v>
      </c>
      <c r="F358" s="140">
        <v>0.9553268322544568</v>
      </c>
    </row>
    <row r="359" spans="1:6">
      <c r="A359" s="149" t="s">
        <v>2962</v>
      </c>
      <c r="B359" s="144" t="s">
        <v>415</v>
      </c>
      <c r="C359" s="44">
        <v>16770</v>
      </c>
      <c r="D359" s="153">
        <f t="shared" si="5"/>
        <v>1.048125</v>
      </c>
      <c r="E359" s="43">
        <v>30965.120640080011</v>
      </c>
      <c r="F359" s="140">
        <v>0.9553268322544568</v>
      </c>
    </row>
    <row r="360" spans="1:6">
      <c r="A360" s="149" t="s">
        <v>2962</v>
      </c>
      <c r="B360" s="144" t="s">
        <v>416</v>
      </c>
      <c r="C360" s="44">
        <v>16770</v>
      </c>
      <c r="D360" s="153">
        <f t="shared" si="5"/>
        <v>1.048125</v>
      </c>
      <c r="E360" s="43">
        <v>30965.120640080011</v>
      </c>
      <c r="F360" s="140">
        <v>0.9553268322544568</v>
      </c>
    </row>
    <row r="361" spans="1:6">
      <c r="A361" s="149" t="s">
        <v>2962</v>
      </c>
      <c r="B361" s="144" t="s">
        <v>417</v>
      </c>
      <c r="C361" s="44">
        <v>16770</v>
      </c>
      <c r="D361" s="153">
        <f t="shared" si="5"/>
        <v>1.048125</v>
      </c>
      <c r="E361" s="43">
        <v>30965.120640080011</v>
      </c>
      <c r="F361" s="140">
        <v>0.9553268322544568</v>
      </c>
    </row>
    <row r="362" spans="1:6">
      <c r="A362" s="149" t="s">
        <v>2962</v>
      </c>
      <c r="B362" s="144" t="s">
        <v>418</v>
      </c>
      <c r="C362" s="44">
        <v>16770</v>
      </c>
      <c r="D362" s="153">
        <f t="shared" si="5"/>
        <v>1.048125</v>
      </c>
      <c r="E362" s="43">
        <v>30965.120640080011</v>
      </c>
      <c r="F362" s="140">
        <v>0.9553268322544568</v>
      </c>
    </row>
    <row r="363" spans="1:6">
      <c r="A363" s="149" t="s">
        <v>2962</v>
      </c>
      <c r="B363" s="144" t="s">
        <v>419</v>
      </c>
      <c r="C363" s="44">
        <v>16770</v>
      </c>
      <c r="D363" s="153">
        <f t="shared" si="5"/>
        <v>1.048125</v>
      </c>
      <c r="E363" s="43">
        <v>30965.120640080011</v>
      </c>
      <c r="F363" s="140">
        <v>0.9553268322544568</v>
      </c>
    </row>
    <row r="364" spans="1:6">
      <c r="A364" s="149" t="s">
        <v>2962</v>
      </c>
      <c r="B364" s="144" t="s">
        <v>420</v>
      </c>
      <c r="C364" s="44">
        <v>16770</v>
      </c>
      <c r="D364" s="153">
        <f t="shared" si="5"/>
        <v>1.048125</v>
      </c>
      <c r="E364" s="43">
        <v>30965.120640080011</v>
      </c>
      <c r="F364" s="140">
        <v>0.9553268322544568</v>
      </c>
    </row>
    <row r="365" spans="1:6">
      <c r="A365" s="149" t="s">
        <v>2962</v>
      </c>
      <c r="B365" s="144" t="s">
        <v>421</v>
      </c>
      <c r="C365" s="44">
        <v>16770</v>
      </c>
      <c r="D365" s="153">
        <f t="shared" si="5"/>
        <v>1.048125</v>
      </c>
      <c r="E365" s="43">
        <v>30965.120640080011</v>
      </c>
      <c r="F365" s="140">
        <v>0.9553268322544568</v>
      </c>
    </row>
    <row r="366" spans="1:6">
      <c r="A366" s="149" t="s">
        <v>2962</v>
      </c>
      <c r="B366" s="144" t="s">
        <v>422</v>
      </c>
      <c r="C366" s="44">
        <v>16770</v>
      </c>
      <c r="D366" s="153">
        <f t="shared" si="5"/>
        <v>1.048125</v>
      </c>
      <c r="E366" s="43">
        <v>30965.120640080011</v>
      </c>
      <c r="F366" s="140">
        <v>0.9553268322544568</v>
      </c>
    </row>
    <row r="367" spans="1:6">
      <c r="A367" s="149" t="s">
        <v>2962</v>
      </c>
      <c r="B367" s="144" t="s">
        <v>423</v>
      </c>
      <c r="C367" s="44">
        <v>16770</v>
      </c>
      <c r="D367" s="153">
        <f t="shared" si="5"/>
        <v>1.048125</v>
      </c>
      <c r="E367" s="43">
        <v>30965.120640080011</v>
      </c>
      <c r="F367" s="140">
        <v>0.9553268322544568</v>
      </c>
    </row>
    <row r="368" spans="1:6">
      <c r="A368" s="149" t="s">
        <v>2962</v>
      </c>
      <c r="B368" s="144" t="s">
        <v>424</v>
      </c>
      <c r="C368" s="44">
        <v>16770</v>
      </c>
      <c r="D368" s="153">
        <f t="shared" si="5"/>
        <v>1.048125</v>
      </c>
      <c r="E368" s="43">
        <v>30965.120640080011</v>
      </c>
      <c r="F368" s="140">
        <v>0.9553268322544568</v>
      </c>
    </row>
    <row r="369" spans="1:6">
      <c r="A369" s="149" t="s">
        <v>2962</v>
      </c>
      <c r="B369" s="144" t="s">
        <v>425</v>
      </c>
      <c r="C369" s="44">
        <v>16770</v>
      </c>
      <c r="D369" s="153">
        <f t="shared" si="5"/>
        <v>1.048125</v>
      </c>
      <c r="E369" s="43">
        <v>30965.120640080011</v>
      </c>
      <c r="F369" s="140">
        <v>0.9553268322544568</v>
      </c>
    </row>
    <row r="370" spans="1:6">
      <c r="A370" s="149" t="s">
        <v>2962</v>
      </c>
      <c r="B370" s="144" t="s">
        <v>426</v>
      </c>
      <c r="C370" s="44">
        <v>16771</v>
      </c>
      <c r="D370" s="153">
        <f t="shared" si="5"/>
        <v>1.0481875</v>
      </c>
      <c r="E370" s="43">
        <v>30967.681440270051</v>
      </c>
      <c r="F370" s="140">
        <v>0.95369600088321249</v>
      </c>
    </row>
    <row r="371" spans="1:6">
      <c r="A371" s="149" t="s">
        <v>2962</v>
      </c>
      <c r="B371" s="144" t="s">
        <v>427</v>
      </c>
      <c r="C371" s="44">
        <v>16770</v>
      </c>
      <c r="D371" s="153">
        <f t="shared" si="5"/>
        <v>1.048125</v>
      </c>
      <c r="E371" s="43">
        <v>30965.120640080011</v>
      </c>
      <c r="F371" s="140">
        <v>0.9553268322544568</v>
      </c>
    </row>
    <row r="372" spans="1:6">
      <c r="A372" s="149" t="s">
        <v>2962</v>
      </c>
      <c r="B372" s="144" t="s">
        <v>428</v>
      </c>
      <c r="C372" s="44">
        <v>16770</v>
      </c>
      <c r="D372" s="153">
        <f t="shared" si="5"/>
        <v>1.048125</v>
      </c>
      <c r="E372" s="43">
        <v>30965.120640080011</v>
      </c>
      <c r="F372" s="140">
        <v>0.9553268322544568</v>
      </c>
    </row>
    <row r="373" spans="1:6">
      <c r="A373" s="149" t="s">
        <v>2962</v>
      </c>
      <c r="B373" s="144" t="s">
        <v>429</v>
      </c>
      <c r="C373" s="44">
        <v>16771</v>
      </c>
      <c r="D373" s="153">
        <f t="shared" si="5"/>
        <v>1.0481875</v>
      </c>
      <c r="E373" s="43">
        <v>30967.681440270051</v>
      </c>
      <c r="F373" s="140">
        <v>0.95369600088321249</v>
      </c>
    </row>
    <row r="374" spans="1:6">
      <c r="A374" s="149" t="s">
        <v>2962</v>
      </c>
      <c r="B374" s="144" t="s">
        <v>430</v>
      </c>
      <c r="C374" s="44">
        <v>16770</v>
      </c>
      <c r="D374" s="153">
        <f t="shared" si="5"/>
        <v>1.048125</v>
      </c>
      <c r="E374" s="43">
        <v>30965.120640080011</v>
      </c>
      <c r="F374" s="140">
        <v>0.9553268322544568</v>
      </c>
    </row>
    <row r="375" spans="1:6">
      <c r="A375" s="149" t="s">
        <v>2962</v>
      </c>
      <c r="B375" s="144" t="s">
        <v>431</v>
      </c>
      <c r="C375" s="44">
        <v>16771</v>
      </c>
      <c r="D375" s="153">
        <f t="shared" si="5"/>
        <v>1.0481875</v>
      </c>
      <c r="E375" s="43">
        <v>30967.681440270051</v>
      </c>
      <c r="F375" s="140">
        <v>0.95369600088321249</v>
      </c>
    </row>
    <row r="376" spans="1:6">
      <c r="A376" s="149" t="s">
        <v>2962</v>
      </c>
      <c r="B376" s="144" t="s">
        <v>432</v>
      </c>
      <c r="C376" s="44">
        <v>16771</v>
      </c>
      <c r="D376" s="153">
        <f t="shared" si="5"/>
        <v>1.0481875</v>
      </c>
      <c r="E376" s="43">
        <v>30967.681440270051</v>
      </c>
      <c r="F376" s="140">
        <v>0.95369600088321249</v>
      </c>
    </row>
    <row r="377" spans="1:6">
      <c r="A377" s="149" t="s">
        <v>2962</v>
      </c>
      <c r="B377" s="144" t="s">
        <v>433</v>
      </c>
      <c r="C377" s="44">
        <v>16770</v>
      </c>
      <c r="D377" s="153">
        <f t="shared" si="5"/>
        <v>1.048125</v>
      </c>
      <c r="E377" s="43">
        <v>30965.120640080011</v>
      </c>
      <c r="F377" s="140">
        <v>0.9553268322544568</v>
      </c>
    </row>
    <row r="378" spans="1:6">
      <c r="A378" s="149" t="s">
        <v>2962</v>
      </c>
      <c r="B378" s="144" t="s">
        <v>434</v>
      </c>
      <c r="C378" s="44">
        <v>16770</v>
      </c>
      <c r="D378" s="153">
        <f t="shared" si="5"/>
        <v>1.048125</v>
      </c>
      <c r="E378" s="43">
        <v>30965.120640080011</v>
      </c>
      <c r="F378" s="140">
        <v>0.9553268322544568</v>
      </c>
    </row>
    <row r="379" spans="1:6">
      <c r="A379" s="149" t="s">
        <v>2962</v>
      </c>
      <c r="B379" s="144" t="s">
        <v>435</v>
      </c>
      <c r="C379" s="44">
        <v>16771</v>
      </c>
      <c r="D379" s="153">
        <f t="shared" si="5"/>
        <v>1.0481875</v>
      </c>
      <c r="E379" s="43">
        <v>30967.681440270051</v>
      </c>
      <c r="F379" s="140">
        <v>0.95369600088321249</v>
      </c>
    </row>
    <row r="380" spans="1:6">
      <c r="A380" s="149" t="s">
        <v>2962</v>
      </c>
      <c r="B380" s="144" t="s">
        <v>436</v>
      </c>
      <c r="C380" s="44">
        <v>16771</v>
      </c>
      <c r="D380" s="153">
        <f t="shared" si="5"/>
        <v>1.0481875</v>
      </c>
      <c r="E380" s="43">
        <v>30967.681440270051</v>
      </c>
      <c r="F380" s="140">
        <v>0.95369600088321249</v>
      </c>
    </row>
    <row r="381" spans="1:6">
      <c r="A381" s="149" t="s">
        <v>2962</v>
      </c>
      <c r="B381" s="144" t="s">
        <v>437</v>
      </c>
      <c r="C381" s="44">
        <v>16771</v>
      </c>
      <c r="D381" s="153">
        <f t="shared" si="5"/>
        <v>1.0481875</v>
      </c>
      <c r="E381" s="43">
        <v>30967.681440270051</v>
      </c>
      <c r="F381" s="140">
        <v>0.95369600088321249</v>
      </c>
    </row>
    <row r="382" spans="1:6">
      <c r="A382" s="149" t="s">
        <v>2962</v>
      </c>
      <c r="B382" s="144" t="s">
        <v>438</v>
      </c>
      <c r="C382" s="44">
        <v>16771</v>
      </c>
      <c r="D382" s="153">
        <f t="shared" si="5"/>
        <v>1.0481875</v>
      </c>
      <c r="E382" s="43">
        <v>30967.681440270051</v>
      </c>
      <c r="F382" s="140">
        <v>0.95369600088321249</v>
      </c>
    </row>
    <row r="383" spans="1:6">
      <c r="A383" s="149" t="s">
        <v>2962</v>
      </c>
      <c r="B383" s="144" t="s">
        <v>439</v>
      </c>
      <c r="C383" s="44">
        <v>16771</v>
      </c>
      <c r="D383" s="153">
        <f t="shared" si="5"/>
        <v>1.0481875</v>
      </c>
      <c r="E383" s="43">
        <v>30967.681440270051</v>
      </c>
      <c r="F383" s="140">
        <v>0.95369600088321249</v>
      </c>
    </row>
    <row r="384" spans="1:6">
      <c r="A384" s="149" t="s">
        <v>2962</v>
      </c>
      <c r="B384" s="144" t="s">
        <v>440</v>
      </c>
      <c r="C384" s="44">
        <v>16771</v>
      </c>
      <c r="D384" s="153">
        <f t="shared" si="5"/>
        <v>1.0481875</v>
      </c>
      <c r="E384" s="43">
        <v>30967.681440270051</v>
      </c>
      <c r="F384" s="140">
        <v>0.95369600088321249</v>
      </c>
    </row>
    <row r="385" spans="1:6">
      <c r="A385" s="149" t="s">
        <v>2962</v>
      </c>
      <c r="B385" s="144" t="s">
        <v>441</v>
      </c>
      <c r="C385" s="44">
        <v>16771</v>
      </c>
      <c r="D385" s="153">
        <f t="shared" si="5"/>
        <v>1.0481875</v>
      </c>
      <c r="E385" s="43">
        <v>30967.681440270051</v>
      </c>
      <c r="F385" s="140">
        <v>0.95369600088321249</v>
      </c>
    </row>
    <row r="386" spans="1:6">
      <c r="A386" s="149" t="s">
        <v>2962</v>
      </c>
      <c r="B386" s="144" t="s">
        <v>442</v>
      </c>
      <c r="C386" s="44">
        <v>16771</v>
      </c>
      <c r="D386" s="153">
        <f t="shared" si="5"/>
        <v>1.0481875</v>
      </c>
      <c r="E386" s="43">
        <v>30967.681440270051</v>
      </c>
      <c r="F386" s="140">
        <v>0.95369600088321249</v>
      </c>
    </row>
    <row r="387" spans="1:6">
      <c r="A387" s="149" t="s">
        <v>2962</v>
      </c>
      <c r="B387" s="144" t="s">
        <v>443</v>
      </c>
      <c r="C387" s="44">
        <v>16771</v>
      </c>
      <c r="D387" s="153">
        <f t="shared" si="5"/>
        <v>1.0481875</v>
      </c>
      <c r="E387" s="43">
        <v>30967.681440270051</v>
      </c>
      <c r="F387" s="140">
        <v>0.95369600088321249</v>
      </c>
    </row>
    <row r="388" spans="1:6">
      <c r="A388" s="149" t="s">
        <v>2962</v>
      </c>
      <c r="B388" s="144" t="s">
        <v>444</v>
      </c>
      <c r="C388" s="44">
        <v>16771</v>
      </c>
      <c r="D388" s="153">
        <f t="shared" si="5"/>
        <v>1.0481875</v>
      </c>
      <c r="E388" s="43">
        <v>30967.681440270051</v>
      </c>
      <c r="F388" s="140">
        <v>0.95369600088321249</v>
      </c>
    </row>
    <row r="389" spans="1:6">
      <c r="A389" s="149" t="s">
        <v>2962</v>
      </c>
      <c r="B389" s="144" t="s">
        <v>445</v>
      </c>
      <c r="C389" s="44">
        <v>16771</v>
      </c>
      <c r="D389" s="153">
        <f t="shared" si="5"/>
        <v>1.0481875</v>
      </c>
      <c r="E389" s="43">
        <v>30967.681440270051</v>
      </c>
      <c r="F389" s="140">
        <v>0.95369600088321249</v>
      </c>
    </row>
    <row r="390" spans="1:6">
      <c r="A390" s="149" t="s">
        <v>2962</v>
      </c>
      <c r="B390" s="144" t="s">
        <v>446</v>
      </c>
      <c r="C390" s="44">
        <v>16771</v>
      </c>
      <c r="D390" s="153">
        <f t="shared" si="5"/>
        <v>1.0481875</v>
      </c>
      <c r="E390" s="43">
        <v>30967.681440270051</v>
      </c>
      <c r="F390" s="140">
        <v>0.95369600088321249</v>
      </c>
    </row>
    <row r="391" spans="1:6">
      <c r="A391" s="149" t="s">
        <v>2962</v>
      </c>
      <c r="B391" s="144" t="s">
        <v>447</v>
      </c>
      <c r="C391" s="44">
        <v>16771</v>
      </c>
      <c r="D391" s="153">
        <f t="shared" ref="D391:D454" si="6">C391/32768*4.096/2</f>
        <v>1.0481875</v>
      </c>
      <c r="E391" s="43">
        <v>30967.681440270051</v>
      </c>
      <c r="F391" s="140">
        <v>0.95369600088321249</v>
      </c>
    </row>
    <row r="392" spans="1:6">
      <c r="A392" s="149" t="s">
        <v>2962</v>
      </c>
      <c r="B392" s="144" t="s">
        <v>448</v>
      </c>
      <c r="C392" s="44">
        <v>16771</v>
      </c>
      <c r="D392" s="153">
        <f t="shared" si="6"/>
        <v>1.0481875</v>
      </c>
      <c r="E392" s="43">
        <v>30967.681440270051</v>
      </c>
      <c r="F392" s="140">
        <v>0.95369600088321249</v>
      </c>
    </row>
    <row r="393" spans="1:6">
      <c r="A393" s="149" t="s">
        <v>2962</v>
      </c>
      <c r="B393" s="145" t="s">
        <v>449</v>
      </c>
      <c r="C393" s="142">
        <v>16771</v>
      </c>
      <c r="D393" s="153">
        <f t="shared" si="6"/>
        <v>1.0481875</v>
      </c>
      <c r="E393" s="143">
        <v>30967.681440270051</v>
      </c>
      <c r="F393" s="141">
        <v>0.95369600088321249</v>
      </c>
    </row>
    <row r="394" spans="1:6">
      <c r="A394" s="149" t="s">
        <v>2962</v>
      </c>
      <c r="B394" s="144" t="s">
        <v>450</v>
      </c>
      <c r="C394" s="44">
        <v>16771</v>
      </c>
      <c r="D394" s="153">
        <f t="shared" si="6"/>
        <v>1.0481875</v>
      </c>
      <c r="E394" s="43">
        <v>30967.681440270051</v>
      </c>
      <c r="F394" s="140">
        <v>0.95369600088321249</v>
      </c>
    </row>
    <row r="395" spans="1:6">
      <c r="A395" s="149" t="s">
        <v>2962</v>
      </c>
      <c r="B395" s="144" t="s">
        <v>451</v>
      </c>
      <c r="C395" s="44">
        <v>16771</v>
      </c>
      <c r="D395" s="153">
        <f t="shared" si="6"/>
        <v>1.0481875</v>
      </c>
      <c r="E395" s="43">
        <v>30967.681440270051</v>
      </c>
      <c r="F395" s="140">
        <v>0.95369600088321249</v>
      </c>
    </row>
    <row r="396" spans="1:6">
      <c r="A396" s="149" t="s">
        <v>2962</v>
      </c>
      <c r="B396" s="144" t="s">
        <v>452</v>
      </c>
      <c r="C396" s="44">
        <v>16771</v>
      </c>
      <c r="D396" s="153">
        <f t="shared" si="6"/>
        <v>1.0481875</v>
      </c>
      <c r="E396" s="43">
        <v>30967.681440270051</v>
      </c>
      <c r="F396" s="140">
        <v>0.95369600088321249</v>
      </c>
    </row>
    <row r="397" spans="1:6">
      <c r="A397" s="149" t="s">
        <v>2962</v>
      </c>
      <c r="B397" s="144" t="s">
        <v>453</v>
      </c>
      <c r="C397" s="44">
        <v>16771</v>
      </c>
      <c r="D397" s="153">
        <f t="shared" si="6"/>
        <v>1.0481875</v>
      </c>
      <c r="E397" s="43">
        <v>30967.681440270051</v>
      </c>
      <c r="F397" s="140">
        <v>0.95369600088321249</v>
      </c>
    </row>
    <row r="398" spans="1:6">
      <c r="A398" s="149" t="s">
        <v>2962</v>
      </c>
      <c r="B398" s="144" t="s">
        <v>454</v>
      </c>
      <c r="C398" s="44">
        <v>16771</v>
      </c>
      <c r="D398" s="153">
        <f t="shared" si="6"/>
        <v>1.0481875</v>
      </c>
      <c r="E398" s="43">
        <v>30967.681440270051</v>
      </c>
      <c r="F398" s="140">
        <v>0.95369600088321249</v>
      </c>
    </row>
    <row r="399" spans="1:6">
      <c r="A399" s="149" t="s">
        <v>2962</v>
      </c>
      <c r="B399" s="144" t="s">
        <v>455</v>
      </c>
      <c r="C399" s="44">
        <v>16771</v>
      </c>
      <c r="D399" s="153">
        <f t="shared" si="6"/>
        <v>1.0481875</v>
      </c>
      <c r="E399" s="43">
        <v>30967.681440270051</v>
      </c>
      <c r="F399" s="140">
        <v>0.95369600088321249</v>
      </c>
    </row>
    <row r="400" spans="1:6">
      <c r="A400" s="149" t="s">
        <v>2962</v>
      </c>
      <c r="B400" s="144" t="s">
        <v>456</v>
      </c>
      <c r="C400" s="44">
        <v>16771</v>
      </c>
      <c r="D400" s="153">
        <f t="shared" si="6"/>
        <v>1.0481875</v>
      </c>
      <c r="E400" s="43">
        <v>30967.681440270051</v>
      </c>
      <c r="F400" s="140">
        <v>0.95369600088321249</v>
      </c>
    </row>
    <row r="401" spans="1:6">
      <c r="A401" s="149" t="s">
        <v>2962</v>
      </c>
      <c r="B401" s="144" t="s">
        <v>457</v>
      </c>
      <c r="C401" s="44">
        <v>16771</v>
      </c>
      <c r="D401" s="153">
        <f t="shared" si="6"/>
        <v>1.0481875</v>
      </c>
      <c r="E401" s="43">
        <v>30967.681440270051</v>
      </c>
      <c r="F401" s="140">
        <v>0.95369600088321249</v>
      </c>
    </row>
    <row r="402" spans="1:6">
      <c r="A402" s="149" t="s">
        <v>2962</v>
      </c>
      <c r="B402" s="144" t="s">
        <v>458</v>
      </c>
      <c r="C402" s="44">
        <v>16771</v>
      </c>
      <c r="D402" s="153">
        <f t="shared" si="6"/>
        <v>1.0481875</v>
      </c>
      <c r="E402" s="43">
        <v>30967.681440270051</v>
      </c>
      <c r="F402" s="140">
        <v>0.95369600088321249</v>
      </c>
    </row>
    <row r="403" spans="1:6">
      <c r="A403" s="149" t="s">
        <v>2962</v>
      </c>
      <c r="B403" s="144" t="s">
        <v>459</v>
      </c>
      <c r="C403" s="44">
        <v>16771</v>
      </c>
      <c r="D403" s="153">
        <f t="shared" si="6"/>
        <v>1.0481875</v>
      </c>
      <c r="E403" s="43">
        <v>30967.681440270051</v>
      </c>
      <c r="F403" s="140">
        <v>0.95369600088321249</v>
      </c>
    </row>
    <row r="404" spans="1:6">
      <c r="A404" s="149" t="s">
        <v>2962</v>
      </c>
      <c r="B404" s="144" t="s">
        <v>460</v>
      </c>
      <c r="C404" s="44">
        <v>16771</v>
      </c>
      <c r="D404" s="153">
        <f t="shared" si="6"/>
        <v>1.0481875</v>
      </c>
      <c r="E404" s="43">
        <v>30967.681440270051</v>
      </c>
      <c r="F404" s="140">
        <v>0.95369600088321249</v>
      </c>
    </row>
    <row r="405" spans="1:6">
      <c r="A405" s="149" t="s">
        <v>2962</v>
      </c>
      <c r="B405" s="144" t="s">
        <v>461</v>
      </c>
      <c r="C405" s="44">
        <v>16771</v>
      </c>
      <c r="D405" s="153">
        <f t="shared" si="6"/>
        <v>1.0481875</v>
      </c>
      <c r="E405" s="43">
        <v>30967.681440270051</v>
      </c>
      <c r="F405" s="140">
        <v>0.95369600088321249</v>
      </c>
    </row>
    <row r="406" spans="1:6">
      <c r="A406" s="149" t="s">
        <v>2962</v>
      </c>
      <c r="B406" s="144" t="s">
        <v>462</v>
      </c>
      <c r="C406" s="44">
        <v>16771</v>
      </c>
      <c r="D406" s="153">
        <f t="shared" si="6"/>
        <v>1.0481875</v>
      </c>
      <c r="E406" s="43">
        <v>30967.681440270051</v>
      </c>
      <c r="F406" s="140">
        <v>0.95369600088321249</v>
      </c>
    </row>
    <row r="407" spans="1:6">
      <c r="A407" s="149" t="s">
        <v>2962</v>
      </c>
      <c r="B407" s="144" t="s">
        <v>463</v>
      </c>
      <c r="C407" s="44">
        <v>16771</v>
      </c>
      <c r="D407" s="153">
        <f t="shared" si="6"/>
        <v>1.0481875</v>
      </c>
      <c r="E407" s="43">
        <v>30967.681440270051</v>
      </c>
      <c r="F407" s="140">
        <v>0.95369600088321249</v>
      </c>
    </row>
    <row r="408" spans="1:6">
      <c r="A408" s="149" t="s">
        <v>2962</v>
      </c>
      <c r="B408" s="144" t="s">
        <v>464</v>
      </c>
      <c r="C408" s="44">
        <v>16771</v>
      </c>
      <c r="D408" s="153">
        <f t="shared" si="6"/>
        <v>1.0481875</v>
      </c>
      <c r="E408" s="43">
        <v>30967.681440270051</v>
      </c>
      <c r="F408" s="140">
        <v>0.95369600088321249</v>
      </c>
    </row>
    <row r="409" spans="1:6">
      <c r="A409" s="149" t="s">
        <v>2962</v>
      </c>
      <c r="B409" s="144" t="s">
        <v>465</v>
      </c>
      <c r="C409" s="44">
        <v>16772</v>
      </c>
      <c r="D409" s="153">
        <f t="shared" si="6"/>
        <v>1.0482500000000001</v>
      </c>
      <c r="E409" s="43">
        <v>30970.242560640167</v>
      </c>
      <c r="F409" s="140">
        <v>0.95206511714667386</v>
      </c>
    </row>
    <row r="410" spans="1:6">
      <c r="A410" s="149" t="s">
        <v>2962</v>
      </c>
      <c r="B410" s="144" t="s">
        <v>466</v>
      </c>
      <c r="C410" s="44">
        <v>16771</v>
      </c>
      <c r="D410" s="153">
        <f t="shared" si="6"/>
        <v>1.0481875</v>
      </c>
      <c r="E410" s="43">
        <v>30967.681440270051</v>
      </c>
      <c r="F410" s="140">
        <v>0.95369600088321249</v>
      </c>
    </row>
    <row r="411" spans="1:6">
      <c r="A411" s="149" t="s">
        <v>2962</v>
      </c>
      <c r="B411" s="144" t="s">
        <v>467</v>
      </c>
      <c r="C411" s="44">
        <v>16772</v>
      </c>
      <c r="D411" s="153">
        <f t="shared" si="6"/>
        <v>1.0482500000000001</v>
      </c>
      <c r="E411" s="43">
        <v>30970.242560640167</v>
      </c>
      <c r="F411" s="140">
        <v>0.95206511714667386</v>
      </c>
    </row>
    <row r="412" spans="1:6">
      <c r="A412" s="149" t="s">
        <v>2962</v>
      </c>
      <c r="B412" s="144" t="s">
        <v>468</v>
      </c>
      <c r="C412" s="44">
        <v>16772</v>
      </c>
      <c r="D412" s="153">
        <f t="shared" si="6"/>
        <v>1.0482500000000001</v>
      </c>
      <c r="E412" s="43">
        <v>30970.242560640167</v>
      </c>
      <c r="F412" s="140">
        <v>0.95206511714667386</v>
      </c>
    </row>
    <row r="413" spans="1:6">
      <c r="A413" s="149" t="s">
        <v>2962</v>
      </c>
      <c r="B413" s="144" t="s">
        <v>469</v>
      </c>
      <c r="C413" s="44">
        <v>16771</v>
      </c>
      <c r="D413" s="153">
        <f t="shared" si="6"/>
        <v>1.0481875</v>
      </c>
      <c r="E413" s="43">
        <v>30967.681440270051</v>
      </c>
      <c r="F413" s="140">
        <v>0.95369600088321249</v>
      </c>
    </row>
    <row r="414" spans="1:6">
      <c r="A414" s="149" t="s">
        <v>2962</v>
      </c>
      <c r="B414" s="144" t="s">
        <v>470</v>
      </c>
      <c r="C414" s="44">
        <v>16772</v>
      </c>
      <c r="D414" s="153">
        <f t="shared" si="6"/>
        <v>1.0482500000000001</v>
      </c>
      <c r="E414" s="43">
        <v>30970.242560640167</v>
      </c>
      <c r="F414" s="140">
        <v>0.95206511714667386</v>
      </c>
    </row>
    <row r="415" spans="1:6">
      <c r="A415" s="149" t="s">
        <v>2962</v>
      </c>
      <c r="B415" s="144" t="s">
        <v>471</v>
      </c>
      <c r="C415" s="44">
        <v>16772</v>
      </c>
      <c r="D415" s="153">
        <f t="shared" si="6"/>
        <v>1.0482500000000001</v>
      </c>
      <c r="E415" s="43">
        <v>30970.242560640167</v>
      </c>
      <c r="F415" s="140">
        <v>0.95206511714667386</v>
      </c>
    </row>
    <row r="416" spans="1:6">
      <c r="A416" s="149" t="s">
        <v>2962</v>
      </c>
      <c r="B416" s="144" t="s">
        <v>472</v>
      </c>
      <c r="C416" s="44">
        <v>16772</v>
      </c>
      <c r="D416" s="153">
        <f t="shared" si="6"/>
        <v>1.0482500000000001</v>
      </c>
      <c r="E416" s="43">
        <v>30970.242560640167</v>
      </c>
      <c r="F416" s="140">
        <v>0.95206511714667386</v>
      </c>
    </row>
    <row r="417" spans="1:6">
      <c r="A417" s="149" t="s">
        <v>2962</v>
      </c>
      <c r="B417" s="144" t="s">
        <v>473</v>
      </c>
      <c r="C417" s="44">
        <v>16772</v>
      </c>
      <c r="D417" s="153">
        <f t="shared" si="6"/>
        <v>1.0482500000000001</v>
      </c>
      <c r="E417" s="43">
        <v>30970.242560640167</v>
      </c>
      <c r="F417" s="140">
        <v>0.95206511714667386</v>
      </c>
    </row>
    <row r="418" spans="1:6">
      <c r="A418" s="149" t="s">
        <v>2962</v>
      </c>
      <c r="B418" s="144" t="s">
        <v>474</v>
      </c>
      <c r="C418" s="44">
        <v>16772</v>
      </c>
      <c r="D418" s="153">
        <f t="shared" si="6"/>
        <v>1.0482500000000001</v>
      </c>
      <c r="E418" s="43">
        <v>30970.242560640167</v>
      </c>
      <c r="F418" s="140">
        <v>0.95206511714667386</v>
      </c>
    </row>
    <row r="419" spans="1:6">
      <c r="A419" s="149" t="s">
        <v>2962</v>
      </c>
      <c r="B419" s="144" t="s">
        <v>475</v>
      </c>
      <c r="C419" s="44">
        <v>16772</v>
      </c>
      <c r="D419" s="153">
        <f t="shared" si="6"/>
        <v>1.0482500000000001</v>
      </c>
      <c r="E419" s="43">
        <v>30970.242560640167</v>
      </c>
      <c r="F419" s="140">
        <v>0.95206511714667386</v>
      </c>
    </row>
    <row r="420" spans="1:6">
      <c r="A420" s="149" t="s">
        <v>2962</v>
      </c>
      <c r="B420" s="144" t="s">
        <v>476</v>
      </c>
      <c r="C420" s="44">
        <v>16772</v>
      </c>
      <c r="D420" s="153">
        <f t="shared" si="6"/>
        <v>1.0482500000000001</v>
      </c>
      <c r="E420" s="43">
        <v>30970.242560640167</v>
      </c>
      <c r="F420" s="140">
        <v>0.95206511714667386</v>
      </c>
    </row>
    <row r="421" spans="1:6">
      <c r="A421" s="149" t="s">
        <v>2962</v>
      </c>
      <c r="B421" s="144" t="s">
        <v>477</v>
      </c>
      <c r="C421" s="44">
        <v>16772</v>
      </c>
      <c r="D421" s="153">
        <f t="shared" si="6"/>
        <v>1.0482500000000001</v>
      </c>
      <c r="E421" s="43">
        <v>30970.242560640167</v>
      </c>
      <c r="F421" s="140">
        <v>0.95206511714667386</v>
      </c>
    </row>
    <row r="422" spans="1:6">
      <c r="A422" s="149" t="s">
        <v>2962</v>
      </c>
      <c r="B422" s="144" t="s">
        <v>478</v>
      </c>
      <c r="C422" s="44">
        <v>16772</v>
      </c>
      <c r="D422" s="153">
        <f t="shared" si="6"/>
        <v>1.0482500000000001</v>
      </c>
      <c r="E422" s="43">
        <v>30970.242560640167</v>
      </c>
      <c r="F422" s="140">
        <v>0.95206511714667386</v>
      </c>
    </row>
    <row r="423" spans="1:6">
      <c r="A423" s="149" t="s">
        <v>2962</v>
      </c>
      <c r="B423" s="144" t="s">
        <v>479</v>
      </c>
      <c r="C423" s="44">
        <v>16772</v>
      </c>
      <c r="D423" s="153">
        <f t="shared" si="6"/>
        <v>1.0482500000000001</v>
      </c>
      <c r="E423" s="43">
        <v>30970.242560640167</v>
      </c>
      <c r="F423" s="140">
        <v>0.95206511714667386</v>
      </c>
    </row>
    <row r="424" spans="1:6">
      <c r="A424" s="149" t="s">
        <v>2962</v>
      </c>
      <c r="B424" s="144" t="s">
        <v>480</v>
      </c>
      <c r="C424" s="44">
        <v>16772</v>
      </c>
      <c r="D424" s="153">
        <f t="shared" si="6"/>
        <v>1.0482500000000001</v>
      </c>
      <c r="E424" s="43">
        <v>30970.242560640167</v>
      </c>
      <c r="F424" s="140">
        <v>0.95206511714667386</v>
      </c>
    </row>
    <row r="425" spans="1:6">
      <c r="A425" s="149" t="s">
        <v>2962</v>
      </c>
      <c r="B425" s="144" t="s">
        <v>481</v>
      </c>
      <c r="C425" s="44">
        <v>16772</v>
      </c>
      <c r="D425" s="153">
        <f t="shared" si="6"/>
        <v>1.0482500000000001</v>
      </c>
      <c r="E425" s="43">
        <v>30970.242560640167</v>
      </c>
      <c r="F425" s="140">
        <v>0.95206511714667386</v>
      </c>
    </row>
    <row r="426" spans="1:6">
      <c r="A426" s="149" t="s">
        <v>2962</v>
      </c>
      <c r="B426" s="144" t="s">
        <v>482</v>
      </c>
      <c r="C426" s="44">
        <v>16772</v>
      </c>
      <c r="D426" s="153">
        <f t="shared" si="6"/>
        <v>1.0482500000000001</v>
      </c>
      <c r="E426" s="43">
        <v>30970.242560640167</v>
      </c>
      <c r="F426" s="140">
        <v>0.95206511714667386</v>
      </c>
    </row>
    <row r="427" spans="1:6">
      <c r="A427" s="149" t="s">
        <v>2962</v>
      </c>
      <c r="B427" s="144" t="s">
        <v>483</v>
      </c>
      <c r="C427" s="44">
        <v>16772</v>
      </c>
      <c r="D427" s="153">
        <f t="shared" si="6"/>
        <v>1.0482500000000001</v>
      </c>
      <c r="E427" s="43">
        <v>30970.242560640167</v>
      </c>
      <c r="F427" s="140">
        <v>0.95206511714667386</v>
      </c>
    </row>
    <row r="428" spans="1:6">
      <c r="A428" s="149" t="s">
        <v>2962</v>
      </c>
      <c r="B428" s="144" t="s">
        <v>484</v>
      </c>
      <c r="C428" s="44">
        <v>16772</v>
      </c>
      <c r="D428" s="153">
        <f t="shared" si="6"/>
        <v>1.0482500000000001</v>
      </c>
      <c r="E428" s="43">
        <v>30970.242560640167</v>
      </c>
      <c r="F428" s="140">
        <v>0.95206511714667386</v>
      </c>
    </row>
    <row r="429" spans="1:6">
      <c r="A429" s="149" t="s">
        <v>2962</v>
      </c>
      <c r="B429" s="144" t="s">
        <v>485</v>
      </c>
      <c r="C429" s="44">
        <v>16772</v>
      </c>
      <c r="D429" s="153">
        <f t="shared" si="6"/>
        <v>1.0482500000000001</v>
      </c>
      <c r="E429" s="43">
        <v>30970.242560640167</v>
      </c>
      <c r="F429" s="140">
        <v>0.95206511714667386</v>
      </c>
    </row>
    <row r="430" spans="1:6">
      <c r="A430" s="149" t="s">
        <v>2962</v>
      </c>
      <c r="B430" s="144" t="s">
        <v>486</v>
      </c>
      <c r="C430" s="44">
        <v>16772</v>
      </c>
      <c r="D430" s="153">
        <f t="shared" si="6"/>
        <v>1.0482500000000001</v>
      </c>
      <c r="E430" s="43">
        <v>30970.242560640167</v>
      </c>
      <c r="F430" s="140">
        <v>0.95206511714667386</v>
      </c>
    </row>
    <row r="431" spans="1:6">
      <c r="A431" s="149" t="s">
        <v>2962</v>
      </c>
      <c r="B431" s="144" t="s">
        <v>487</v>
      </c>
      <c r="C431" s="44">
        <v>16772</v>
      </c>
      <c r="D431" s="153">
        <f t="shared" si="6"/>
        <v>1.0482500000000001</v>
      </c>
      <c r="E431" s="43">
        <v>30970.242560640167</v>
      </c>
      <c r="F431" s="140">
        <v>0.95206511714667386</v>
      </c>
    </row>
    <row r="432" spans="1:6">
      <c r="A432" s="149" t="s">
        <v>2962</v>
      </c>
      <c r="B432" s="144" t="s">
        <v>488</v>
      </c>
      <c r="C432" s="44">
        <v>16772</v>
      </c>
      <c r="D432" s="153">
        <f t="shared" si="6"/>
        <v>1.0482500000000001</v>
      </c>
      <c r="E432" s="43">
        <v>30970.242560640167</v>
      </c>
      <c r="F432" s="140">
        <v>0.95206511714667386</v>
      </c>
    </row>
    <row r="433" spans="1:6">
      <c r="A433" s="149" t="s">
        <v>2962</v>
      </c>
      <c r="B433" s="144" t="s">
        <v>489</v>
      </c>
      <c r="C433" s="44">
        <v>16772</v>
      </c>
      <c r="D433" s="153">
        <f t="shared" si="6"/>
        <v>1.0482500000000001</v>
      </c>
      <c r="E433" s="43">
        <v>30970.242560640167</v>
      </c>
      <c r="F433" s="140">
        <v>0.95206511714667386</v>
      </c>
    </row>
    <row r="434" spans="1:6">
      <c r="A434" s="149" t="s">
        <v>2962</v>
      </c>
      <c r="B434" s="144" t="s">
        <v>490</v>
      </c>
      <c r="C434" s="44">
        <v>16772</v>
      </c>
      <c r="D434" s="153">
        <f t="shared" si="6"/>
        <v>1.0482500000000001</v>
      </c>
      <c r="E434" s="43">
        <v>30970.242560640167</v>
      </c>
      <c r="F434" s="140">
        <v>0.95206511714667386</v>
      </c>
    </row>
    <row r="435" spans="1:6">
      <c r="A435" s="149" t="s">
        <v>2962</v>
      </c>
      <c r="B435" s="144" t="s">
        <v>491</v>
      </c>
      <c r="C435" s="44">
        <v>16772</v>
      </c>
      <c r="D435" s="153">
        <f t="shared" si="6"/>
        <v>1.0482500000000001</v>
      </c>
      <c r="E435" s="43">
        <v>30970.242560640167</v>
      </c>
      <c r="F435" s="140">
        <v>0.95206511714667386</v>
      </c>
    </row>
    <row r="436" spans="1:6">
      <c r="A436" s="149" t="s">
        <v>2962</v>
      </c>
      <c r="B436" s="144" t="s">
        <v>492</v>
      </c>
      <c r="C436" s="44">
        <v>16772</v>
      </c>
      <c r="D436" s="153">
        <f t="shared" si="6"/>
        <v>1.0482500000000001</v>
      </c>
      <c r="E436" s="43">
        <v>30970.242560640167</v>
      </c>
      <c r="F436" s="140">
        <v>0.95206511714667386</v>
      </c>
    </row>
    <row r="437" spans="1:6">
      <c r="A437" s="149" t="s">
        <v>2962</v>
      </c>
      <c r="B437" s="144" t="s">
        <v>493</v>
      </c>
      <c r="C437" s="44">
        <v>16772</v>
      </c>
      <c r="D437" s="153">
        <f t="shared" si="6"/>
        <v>1.0482500000000001</v>
      </c>
      <c r="E437" s="43">
        <v>30970.242560640167</v>
      </c>
      <c r="F437" s="140">
        <v>0.95206511714667386</v>
      </c>
    </row>
    <row r="438" spans="1:6">
      <c r="A438" s="149" t="s">
        <v>2962</v>
      </c>
      <c r="B438" s="144" t="s">
        <v>494</v>
      </c>
      <c r="C438" s="44">
        <v>16772</v>
      </c>
      <c r="D438" s="153">
        <f t="shared" si="6"/>
        <v>1.0482500000000001</v>
      </c>
      <c r="E438" s="43">
        <v>30970.242560640167</v>
      </c>
      <c r="F438" s="140">
        <v>0.95206511714667386</v>
      </c>
    </row>
    <row r="439" spans="1:6">
      <c r="A439" s="149" t="s">
        <v>2962</v>
      </c>
      <c r="B439" s="144" t="s">
        <v>495</v>
      </c>
      <c r="C439" s="44">
        <v>16772</v>
      </c>
      <c r="D439" s="153">
        <f t="shared" si="6"/>
        <v>1.0482500000000001</v>
      </c>
      <c r="E439" s="43">
        <v>30970.242560640167</v>
      </c>
      <c r="F439" s="140">
        <v>0.95206511714667386</v>
      </c>
    </row>
    <row r="440" spans="1:6">
      <c r="A440" s="149" t="s">
        <v>2962</v>
      </c>
      <c r="B440" s="144" t="s">
        <v>496</v>
      </c>
      <c r="C440" s="44">
        <v>16772</v>
      </c>
      <c r="D440" s="153">
        <f t="shared" si="6"/>
        <v>1.0482500000000001</v>
      </c>
      <c r="E440" s="43">
        <v>30970.242560640167</v>
      </c>
      <c r="F440" s="140">
        <v>0.95206511714667386</v>
      </c>
    </row>
    <row r="441" spans="1:6">
      <c r="A441" s="149" t="s">
        <v>2962</v>
      </c>
      <c r="B441" s="144" t="s">
        <v>497</v>
      </c>
      <c r="C441" s="44">
        <v>16772</v>
      </c>
      <c r="D441" s="153">
        <f t="shared" si="6"/>
        <v>1.0482500000000001</v>
      </c>
      <c r="E441" s="43">
        <v>30970.242560640167</v>
      </c>
      <c r="F441" s="140">
        <v>0.95206511714667386</v>
      </c>
    </row>
    <row r="442" spans="1:6">
      <c r="A442" s="149" t="s">
        <v>2962</v>
      </c>
      <c r="B442" s="144" t="s">
        <v>498</v>
      </c>
      <c r="C442" s="44">
        <v>16772</v>
      </c>
      <c r="D442" s="153">
        <f t="shared" si="6"/>
        <v>1.0482500000000001</v>
      </c>
      <c r="E442" s="43">
        <v>30970.242560640167</v>
      </c>
      <c r="F442" s="140">
        <v>0.95206511714667386</v>
      </c>
    </row>
    <row r="443" spans="1:6">
      <c r="A443" s="149" t="s">
        <v>2962</v>
      </c>
      <c r="B443" s="144" t="s">
        <v>499</v>
      </c>
      <c r="C443" s="44">
        <v>16772</v>
      </c>
      <c r="D443" s="153">
        <f t="shared" si="6"/>
        <v>1.0482500000000001</v>
      </c>
      <c r="E443" s="43">
        <v>30970.242560640167</v>
      </c>
      <c r="F443" s="140">
        <v>0.95206511714667386</v>
      </c>
    </row>
    <row r="444" spans="1:6">
      <c r="A444" s="149" t="s">
        <v>2962</v>
      </c>
      <c r="B444" s="144" t="s">
        <v>500</v>
      </c>
      <c r="C444" s="44">
        <v>16772</v>
      </c>
      <c r="D444" s="153">
        <f t="shared" si="6"/>
        <v>1.0482500000000001</v>
      </c>
      <c r="E444" s="43">
        <v>30970.242560640167</v>
      </c>
      <c r="F444" s="140">
        <v>0.95206511714667386</v>
      </c>
    </row>
    <row r="445" spans="1:6">
      <c r="A445" s="149" t="s">
        <v>2962</v>
      </c>
      <c r="B445" s="144" t="s">
        <v>501</v>
      </c>
      <c r="C445" s="44">
        <v>16772</v>
      </c>
      <c r="D445" s="153">
        <f t="shared" si="6"/>
        <v>1.0482500000000001</v>
      </c>
      <c r="E445" s="43">
        <v>30970.242560640167</v>
      </c>
      <c r="F445" s="140">
        <v>0.95206511714667386</v>
      </c>
    </row>
    <row r="446" spans="1:6">
      <c r="A446" s="149" t="s">
        <v>2962</v>
      </c>
      <c r="B446" s="144" t="s">
        <v>502</v>
      </c>
      <c r="C446" s="44">
        <v>16772</v>
      </c>
      <c r="D446" s="153">
        <f t="shared" si="6"/>
        <v>1.0482500000000001</v>
      </c>
      <c r="E446" s="43">
        <v>30970.242560640167</v>
      </c>
      <c r="F446" s="140">
        <v>0.95206511714667386</v>
      </c>
    </row>
    <row r="447" spans="1:6">
      <c r="A447" s="149" t="s">
        <v>2962</v>
      </c>
      <c r="B447" s="144" t="s">
        <v>503</v>
      </c>
      <c r="C447" s="44">
        <v>16772</v>
      </c>
      <c r="D447" s="153">
        <f t="shared" si="6"/>
        <v>1.0482500000000001</v>
      </c>
      <c r="E447" s="43">
        <v>30970.242560640167</v>
      </c>
      <c r="F447" s="140">
        <v>0.95206511714667386</v>
      </c>
    </row>
    <row r="448" spans="1:6">
      <c r="A448" s="149" t="s">
        <v>2962</v>
      </c>
      <c r="B448" s="144" t="s">
        <v>504</v>
      </c>
      <c r="C448" s="44">
        <v>16772</v>
      </c>
      <c r="D448" s="153">
        <f t="shared" si="6"/>
        <v>1.0482500000000001</v>
      </c>
      <c r="E448" s="43">
        <v>30970.242560640167</v>
      </c>
      <c r="F448" s="140">
        <v>0.95206511714667386</v>
      </c>
    </row>
    <row r="449" spans="1:6">
      <c r="A449" s="149" t="s">
        <v>2962</v>
      </c>
      <c r="B449" s="144" t="s">
        <v>505</v>
      </c>
      <c r="C449" s="44">
        <v>16772</v>
      </c>
      <c r="D449" s="153">
        <f t="shared" si="6"/>
        <v>1.0482500000000001</v>
      </c>
      <c r="E449" s="43">
        <v>30970.242560640167</v>
      </c>
      <c r="F449" s="140">
        <v>0.95206511714667386</v>
      </c>
    </row>
    <row r="450" spans="1:6">
      <c r="A450" s="149" t="s">
        <v>2962</v>
      </c>
      <c r="B450" s="144" t="s">
        <v>506</v>
      </c>
      <c r="C450" s="44">
        <v>16772</v>
      </c>
      <c r="D450" s="153">
        <f t="shared" si="6"/>
        <v>1.0482500000000001</v>
      </c>
      <c r="E450" s="43">
        <v>30970.242560640167</v>
      </c>
      <c r="F450" s="140">
        <v>0.95206511714667386</v>
      </c>
    </row>
    <row r="451" spans="1:6">
      <c r="A451" s="149" t="s">
        <v>2962</v>
      </c>
      <c r="B451" s="144" t="s">
        <v>507</v>
      </c>
      <c r="C451" s="44">
        <v>16772</v>
      </c>
      <c r="D451" s="153">
        <f t="shared" si="6"/>
        <v>1.0482500000000001</v>
      </c>
      <c r="E451" s="43">
        <v>30970.242560640167</v>
      </c>
      <c r="F451" s="140">
        <v>0.95206511714667386</v>
      </c>
    </row>
    <row r="452" spans="1:6">
      <c r="A452" s="149" t="s">
        <v>2962</v>
      </c>
      <c r="B452" s="144" t="s">
        <v>508</v>
      </c>
      <c r="C452" s="44">
        <v>16772</v>
      </c>
      <c r="D452" s="153">
        <f t="shared" si="6"/>
        <v>1.0482500000000001</v>
      </c>
      <c r="E452" s="43">
        <v>30970.242560640167</v>
      </c>
      <c r="F452" s="140">
        <v>0.95206511714667386</v>
      </c>
    </row>
    <row r="453" spans="1:6">
      <c r="A453" s="149" t="s">
        <v>2962</v>
      </c>
      <c r="B453" s="144" t="s">
        <v>509</v>
      </c>
      <c r="C453" s="44">
        <v>16772</v>
      </c>
      <c r="D453" s="153">
        <f t="shared" si="6"/>
        <v>1.0482500000000001</v>
      </c>
      <c r="E453" s="43">
        <v>30970.242560640167</v>
      </c>
      <c r="F453" s="140">
        <v>0.95206511714667386</v>
      </c>
    </row>
    <row r="454" spans="1:6">
      <c r="A454" s="149" t="s">
        <v>2962</v>
      </c>
      <c r="B454" s="144" t="s">
        <v>510</v>
      </c>
      <c r="C454" s="44">
        <v>16772</v>
      </c>
      <c r="D454" s="153">
        <f t="shared" si="6"/>
        <v>1.0482500000000001</v>
      </c>
      <c r="E454" s="43">
        <v>30970.242560640167</v>
      </c>
      <c r="F454" s="140">
        <v>0.95206511714667386</v>
      </c>
    </row>
    <row r="455" spans="1:6">
      <c r="A455" s="149" t="s">
        <v>2962</v>
      </c>
      <c r="B455" s="144" t="s">
        <v>511</v>
      </c>
      <c r="C455" s="44">
        <v>16772</v>
      </c>
      <c r="D455" s="153">
        <f t="shared" ref="D455:D518" si="7">C455/32768*4.096/2</f>
        <v>1.0482500000000001</v>
      </c>
      <c r="E455" s="43">
        <v>30970.242560640167</v>
      </c>
      <c r="F455" s="140">
        <v>0.95206511714667386</v>
      </c>
    </row>
    <row r="456" spans="1:6">
      <c r="A456" s="149" t="s">
        <v>2962</v>
      </c>
      <c r="B456" s="144" t="s">
        <v>512</v>
      </c>
      <c r="C456" s="44">
        <v>16772</v>
      </c>
      <c r="D456" s="153">
        <f t="shared" si="7"/>
        <v>1.0482500000000001</v>
      </c>
      <c r="E456" s="43">
        <v>30970.242560640167</v>
      </c>
      <c r="F456" s="140">
        <v>0.95206511714667386</v>
      </c>
    </row>
    <row r="457" spans="1:6">
      <c r="A457" s="149" t="s">
        <v>2962</v>
      </c>
      <c r="B457" s="144" t="s">
        <v>513</v>
      </c>
      <c r="C457" s="44">
        <v>16772</v>
      </c>
      <c r="D457" s="153">
        <f t="shared" si="7"/>
        <v>1.0482500000000001</v>
      </c>
      <c r="E457" s="43">
        <v>30970.242560640167</v>
      </c>
      <c r="F457" s="140">
        <v>0.95206511714667386</v>
      </c>
    </row>
    <row r="458" spans="1:6">
      <c r="A458" s="149" t="s">
        <v>2962</v>
      </c>
      <c r="B458" s="144" t="s">
        <v>514</v>
      </c>
      <c r="C458" s="44">
        <v>16772</v>
      </c>
      <c r="D458" s="153">
        <f t="shared" si="7"/>
        <v>1.0482500000000001</v>
      </c>
      <c r="E458" s="43">
        <v>30970.242560640167</v>
      </c>
      <c r="F458" s="140">
        <v>0.95206511714667386</v>
      </c>
    </row>
    <row r="459" spans="1:6">
      <c r="A459" s="149" t="s">
        <v>2962</v>
      </c>
      <c r="B459" s="144" t="s">
        <v>515</v>
      </c>
      <c r="C459" s="44">
        <v>16772</v>
      </c>
      <c r="D459" s="153">
        <f t="shared" si="7"/>
        <v>1.0482500000000001</v>
      </c>
      <c r="E459" s="43">
        <v>30970.242560640167</v>
      </c>
      <c r="F459" s="140">
        <v>0.95206511714667386</v>
      </c>
    </row>
    <row r="460" spans="1:6">
      <c r="A460" s="149" t="s">
        <v>2962</v>
      </c>
      <c r="B460" s="144" t="s">
        <v>516</v>
      </c>
      <c r="C460" s="44">
        <v>16772</v>
      </c>
      <c r="D460" s="153">
        <f t="shared" si="7"/>
        <v>1.0482500000000001</v>
      </c>
      <c r="E460" s="43">
        <v>30970.242560640167</v>
      </c>
      <c r="F460" s="140">
        <v>0.95206511714667386</v>
      </c>
    </row>
    <row r="461" spans="1:6">
      <c r="A461" s="149" t="s">
        <v>2962</v>
      </c>
      <c r="B461" s="144" t="s">
        <v>517</v>
      </c>
      <c r="C461" s="44">
        <v>16772</v>
      </c>
      <c r="D461" s="153">
        <f t="shared" si="7"/>
        <v>1.0482500000000001</v>
      </c>
      <c r="E461" s="43">
        <v>30970.242560640167</v>
      </c>
      <c r="F461" s="140">
        <v>0.95206511714667386</v>
      </c>
    </row>
    <row r="462" spans="1:6">
      <c r="A462" s="149" t="s">
        <v>2962</v>
      </c>
      <c r="B462" s="144" t="s">
        <v>518</v>
      </c>
      <c r="C462" s="44">
        <v>16772</v>
      </c>
      <c r="D462" s="153">
        <f t="shared" si="7"/>
        <v>1.0482500000000001</v>
      </c>
      <c r="E462" s="43">
        <v>30970.242560640167</v>
      </c>
      <c r="F462" s="140">
        <v>0.95206511714667386</v>
      </c>
    </row>
    <row r="463" spans="1:6">
      <c r="A463" s="149" t="s">
        <v>2962</v>
      </c>
      <c r="B463" s="144" t="s">
        <v>519</v>
      </c>
      <c r="C463" s="44">
        <v>16772</v>
      </c>
      <c r="D463" s="153">
        <f t="shared" si="7"/>
        <v>1.0482500000000001</v>
      </c>
      <c r="E463" s="43">
        <v>30970.242560640167</v>
      </c>
      <c r="F463" s="140">
        <v>0.95206511714667386</v>
      </c>
    </row>
    <row r="464" spans="1:6">
      <c r="A464" s="149" t="s">
        <v>2962</v>
      </c>
      <c r="B464" s="144" t="s">
        <v>520</v>
      </c>
      <c r="C464" s="44">
        <v>16772</v>
      </c>
      <c r="D464" s="153">
        <f t="shared" si="7"/>
        <v>1.0482500000000001</v>
      </c>
      <c r="E464" s="43">
        <v>30970.242560640167</v>
      </c>
      <c r="F464" s="140">
        <v>0.95206511714667386</v>
      </c>
    </row>
    <row r="465" spans="1:6">
      <c r="A465" s="149" t="s">
        <v>2962</v>
      </c>
      <c r="B465" s="144" t="s">
        <v>521</v>
      </c>
      <c r="C465" s="44">
        <v>16772</v>
      </c>
      <c r="D465" s="153">
        <f t="shared" si="7"/>
        <v>1.0482500000000001</v>
      </c>
      <c r="E465" s="43">
        <v>30970.242560640167</v>
      </c>
      <c r="F465" s="140">
        <v>0.95206511714667386</v>
      </c>
    </row>
    <row r="466" spans="1:6">
      <c r="A466" s="149" t="s">
        <v>2962</v>
      </c>
      <c r="B466" s="144" t="s">
        <v>522</v>
      </c>
      <c r="C466" s="44">
        <v>16772</v>
      </c>
      <c r="D466" s="153">
        <f t="shared" si="7"/>
        <v>1.0482500000000001</v>
      </c>
      <c r="E466" s="43">
        <v>30970.242560640167</v>
      </c>
      <c r="F466" s="140">
        <v>0.95206511714667386</v>
      </c>
    </row>
    <row r="467" spans="1:6">
      <c r="A467" s="149" t="s">
        <v>2962</v>
      </c>
      <c r="B467" s="144" t="s">
        <v>523</v>
      </c>
      <c r="C467" s="44">
        <v>16772</v>
      </c>
      <c r="D467" s="153">
        <f t="shared" si="7"/>
        <v>1.0482500000000001</v>
      </c>
      <c r="E467" s="43">
        <v>30970.242560640167</v>
      </c>
      <c r="F467" s="140">
        <v>0.95206511714667386</v>
      </c>
    </row>
    <row r="468" spans="1:6">
      <c r="A468" s="149" t="s">
        <v>2962</v>
      </c>
      <c r="B468" s="144" t="s">
        <v>524</v>
      </c>
      <c r="C468" s="44">
        <v>16772</v>
      </c>
      <c r="D468" s="153">
        <f t="shared" si="7"/>
        <v>1.0482500000000001</v>
      </c>
      <c r="E468" s="43">
        <v>30970.242560640167</v>
      </c>
      <c r="F468" s="140">
        <v>0.95206511714667386</v>
      </c>
    </row>
    <row r="469" spans="1:6">
      <c r="A469" s="149" t="s">
        <v>2962</v>
      </c>
      <c r="B469" s="144" t="s">
        <v>525</v>
      </c>
      <c r="C469" s="44">
        <v>16772</v>
      </c>
      <c r="D469" s="153">
        <f t="shared" si="7"/>
        <v>1.0482500000000001</v>
      </c>
      <c r="E469" s="43">
        <v>30970.242560640167</v>
      </c>
      <c r="F469" s="140">
        <v>0.95206511714667386</v>
      </c>
    </row>
    <row r="470" spans="1:6">
      <c r="A470" s="149" t="s">
        <v>2962</v>
      </c>
      <c r="B470" s="144" t="s">
        <v>526</v>
      </c>
      <c r="C470" s="44">
        <v>16772</v>
      </c>
      <c r="D470" s="153">
        <f t="shared" si="7"/>
        <v>1.0482500000000001</v>
      </c>
      <c r="E470" s="43">
        <v>30970.242560640167</v>
      </c>
      <c r="F470" s="140">
        <v>0.95206511714667386</v>
      </c>
    </row>
    <row r="471" spans="1:6">
      <c r="A471" s="149" t="s">
        <v>2962</v>
      </c>
      <c r="B471" s="144" t="s">
        <v>527</v>
      </c>
      <c r="C471" s="44">
        <v>16772</v>
      </c>
      <c r="D471" s="153">
        <f t="shared" si="7"/>
        <v>1.0482500000000001</v>
      </c>
      <c r="E471" s="43">
        <v>30970.242560640167</v>
      </c>
      <c r="F471" s="140">
        <v>0.95206511714667386</v>
      </c>
    </row>
    <row r="472" spans="1:6">
      <c r="A472" s="149" t="s">
        <v>2962</v>
      </c>
      <c r="B472" s="144" t="s">
        <v>528</v>
      </c>
      <c r="C472" s="44">
        <v>16772</v>
      </c>
      <c r="D472" s="153">
        <f t="shared" si="7"/>
        <v>1.0482500000000001</v>
      </c>
      <c r="E472" s="43">
        <v>30970.242560640167</v>
      </c>
      <c r="F472" s="140">
        <v>0.95206511714667386</v>
      </c>
    </row>
    <row r="473" spans="1:6">
      <c r="A473" s="149" t="s">
        <v>2962</v>
      </c>
      <c r="B473" s="144" t="s">
        <v>529</v>
      </c>
      <c r="C473" s="44">
        <v>16772</v>
      </c>
      <c r="D473" s="153">
        <f t="shared" si="7"/>
        <v>1.0482500000000001</v>
      </c>
      <c r="E473" s="43">
        <v>30970.242560640167</v>
      </c>
      <c r="F473" s="140">
        <v>0.95206511714667386</v>
      </c>
    </row>
    <row r="474" spans="1:6">
      <c r="A474" s="149" t="s">
        <v>2962</v>
      </c>
      <c r="B474" s="144" t="s">
        <v>530</v>
      </c>
      <c r="C474" s="44">
        <v>16772</v>
      </c>
      <c r="D474" s="153">
        <f t="shared" si="7"/>
        <v>1.0482500000000001</v>
      </c>
      <c r="E474" s="43">
        <v>30970.242560640167</v>
      </c>
      <c r="F474" s="140">
        <v>0.95206511714667386</v>
      </c>
    </row>
    <row r="475" spans="1:6">
      <c r="A475" s="149" t="s">
        <v>2962</v>
      </c>
      <c r="B475" s="144" t="s">
        <v>531</v>
      </c>
      <c r="C475" s="44">
        <v>16772</v>
      </c>
      <c r="D475" s="153">
        <f t="shared" si="7"/>
        <v>1.0482500000000001</v>
      </c>
      <c r="E475" s="43">
        <v>30970.242560640167</v>
      </c>
      <c r="F475" s="140">
        <v>0.95206511714667386</v>
      </c>
    </row>
    <row r="476" spans="1:6">
      <c r="A476" s="149" t="s">
        <v>2962</v>
      </c>
      <c r="B476" s="144" t="s">
        <v>532</v>
      </c>
      <c r="C476" s="44">
        <v>16772</v>
      </c>
      <c r="D476" s="153">
        <f t="shared" si="7"/>
        <v>1.0482500000000001</v>
      </c>
      <c r="E476" s="43">
        <v>30970.242560640167</v>
      </c>
      <c r="F476" s="140">
        <v>0.95206511714667386</v>
      </c>
    </row>
    <row r="477" spans="1:6">
      <c r="A477" s="149" t="s">
        <v>2962</v>
      </c>
      <c r="B477" s="144" t="s">
        <v>533</v>
      </c>
      <c r="C477" s="44">
        <v>16772</v>
      </c>
      <c r="D477" s="153">
        <f t="shared" si="7"/>
        <v>1.0482500000000001</v>
      </c>
      <c r="E477" s="43">
        <v>30970.242560640167</v>
      </c>
      <c r="F477" s="140">
        <v>0.95206511714667386</v>
      </c>
    </row>
    <row r="478" spans="1:6">
      <c r="A478" s="149" t="s">
        <v>2962</v>
      </c>
      <c r="B478" s="144" t="s">
        <v>534</v>
      </c>
      <c r="C478" s="44">
        <v>16772</v>
      </c>
      <c r="D478" s="153">
        <f t="shared" si="7"/>
        <v>1.0482500000000001</v>
      </c>
      <c r="E478" s="43">
        <v>30970.242560640167</v>
      </c>
      <c r="F478" s="140">
        <v>0.95206511714667386</v>
      </c>
    </row>
    <row r="479" spans="1:6">
      <c r="A479" s="149" t="s">
        <v>2962</v>
      </c>
      <c r="B479" s="144" t="s">
        <v>535</v>
      </c>
      <c r="C479" s="44">
        <v>16772</v>
      </c>
      <c r="D479" s="153">
        <f t="shared" si="7"/>
        <v>1.0482500000000001</v>
      </c>
      <c r="E479" s="43">
        <v>30970.242560640167</v>
      </c>
      <c r="F479" s="140">
        <v>0.95206511714667386</v>
      </c>
    </row>
    <row r="480" spans="1:6">
      <c r="A480" s="149" t="s">
        <v>2962</v>
      </c>
      <c r="B480" s="144" t="s">
        <v>536</v>
      </c>
      <c r="C480" s="44">
        <v>16772</v>
      </c>
      <c r="D480" s="153">
        <f t="shared" si="7"/>
        <v>1.0482500000000001</v>
      </c>
      <c r="E480" s="43">
        <v>30970.242560640167</v>
      </c>
      <c r="F480" s="140">
        <v>0.95206511714667386</v>
      </c>
    </row>
    <row r="481" spans="1:6">
      <c r="A481" s="149" t="s">
        <v>2962</v>
      </c>
      <c r="B481" s="144" t="s">
        <v>537</v>
      </c>
      <c r="C481" s="44">
        <v>16772</v>
      </c>
      <c r="D481" s="153">
        <f t="shared" si="7"/>
        <v>1.0482500000000001</v>
      </c>
      <c r="E481" s="43">
        <v>30970.242560640167</v>
      </c>
      <c r="F481" s="140">
        <v>0.95206511714667386</v>
      </c>
    </row>
    <row r="482" spans="1:6">
      <c r="A482" s="149" t="s">
        <v>2962</v>
      </c>
      <c r="B482" s="144" t="s">
        <v>538</v>
      </c>
      <c r="C482" s="44">
        <v>16772</v>
      </c>
      <c r="D482" s="153">
        <f t="shared" si="7"/>
        <v>1.0482500000000001</v>
      </c>
      <c r="E482" s="43">
        <v>30970.242560640167</v>
      </c>
      <c r="F482" s="140">
        <v>0.95206511714667386</v>
      </c>
    </row>
    <row r="483" spans="1:6">
      <c r="A483" s="149" t="s">
        <v>2962</v>
      </c>
      <c r="B483" s="144" t="s">
        <v>539</v>
      </c>
      <c r="C483" s="44">
        <v>16772</v>
      </c>
      <c r="D483" s="153">
        <f t="shared" si="7"/>
        <v>1.0482500000000001</v>
      </c>
      <c r="E483" s="43">
        <v>30970.242560640167</v>
      </c>
      <c r="F483" s="140">
        <v>0.95206511714667386</v>
      </c>
    </row>
    <row r="484" spans="1:6">
      <c r="A484" s="149" t="s">
        <v>2962</v>
      </c>
      <c r="B484" s="144" t="s">
        <v>540</v>
      </c>
      <c r="C484" s="44">
        <v>16772</v>
      </c>
      <c r="D484" s="153">
        <f t="shared" si="7"/>
        <v>1.0482500000000001</v>
      </c>
      <c r="E484" s="43">
        <v>30970.242560640167</v>
      </c>
      <c r="F484" s="140">
        <v>0.95206511714667386</v>
      </c>
    </row>
    <row r="485" spans="1:6">
      <c r="A485" s="149" t="s">
        <v>2962</v>
      </c>
      <c r="B485" s="144" t="s">
        <v>541</v>
      </c>
      <c r="C485" s="44">
        <v>16772</v>
      </c>
      <c r="D485" s="153">
        <f t="shared" si="7"/>
        <v>1.0482500000000001</v>
      </c>
      <c r="E485" s="43">
        <v>30970.242560640167</v>
      </c>
      <c r="F485" s="140">
        <v>0.95206511714667386</v>
      </c>
    </row>
    <row r="486" spans="1:6">
      <c r="A486" s="149" t="s">
        <v>2962</v>
      </c>
      <c r="B486" s="144" t="s">
        <v>542</v>
      </c>
      <c r="C486" s="44">
        <v>16772</v>
      </c>
      <c r="D486" s="153">
        <f t="shared" si="7"/>
        <v>1.0482500000000001</v>
      </c>
      <c r="E486" s="43">
        <v>30970.242560640167</v>
      </c>
      <c r="F486" s="140">
        <v>0.95206511714667386</v>
      </c>
    </row>
    <row r="487" spans="1:6">
      <c r="A487" s="149" t="s">
        <v>2962</v>
      </c>
      <c r="B487" s="144" t="s">
        <v>543</v>
      </c>
      <c r="C487" s="44">
        <v>16772</v>
      </c>
      <c r="D487" s="153">
        <f t="shared" si="7"/>
        <v>1.0482500000000001</v>
      </c>
      <c r="E487" s="43">
        <v>30970.242560640167</v>
      </c>
      <c r="F487" s="140">
        <v>0.95206511714667386</v>
      </c>
    </row>
    <row r="488" spans="1:6">
      <c r="A488" s="149" t="s">
        <v>2962</v>
      </c>
      <c r="B488" s="144" t="s">
        <v>544</v>
      </c>
      <c r="C488" s="44">
        <v>16772</v>
      </c>
      <c r="D488" s="153">
        <f t="shared" si="7"/>
        <v>1.0482500000000001</v>
      </c>
      <c r="E488" s="43">
        <v>30970.242560640167</v>
      </c>
      <c r="F488" s="140">
        <v>0.95206511714667386</v>
      </c>
    </row>
    <row r="489" spans="1:6">
      <c r="A489" s="149" t="s">
        <v>2962</v>
      </c>
      <c r="B489" s="144" t="s">
        <v>545</v>
      </c>
      <c r="C489" s="44">
        <v>16772</v>
      </c>
      <c r="D489" s="153">
        <f t="shared" si="7"/>
        <v>1.0482500000000001</v>
      </c>
      <c r="E489" s="43">
        <v>30970.242560640167</v>
      </c>
      <c r="F489" s="140">
        <v>0.95206511714667386</v>
      </c>
    </row>
    <row r="490" spans="1:6">
      <c r="A490" s="149" t="s">
        <v>2962</v>
      </c>
      <c r="B490" s="144" t="s">
        <v>546</v>
      </c>
      <c r="C490" s="44">
        <v>16772</v>
      </c>
      <c r="D490" s="153">
        <f t="shared" si="7"/>
        <v>1.0482500000000001</v>
      </c>
      <c r="E490" s="43">
        <v>30970.242560640167</v>
      </c>
      <c r="F490" s="140">
        <v>0.95206511714667386</v>
      </c>
    </row>
    <row r="491" spans="1:6">
      <c r="A491" s="149" t="s">
        <v>2962</v>
      </c>
      <c r="B491" s="144" t="s">
        <v>547</v>
      </c>
      <c r="C491" s="44">
        <v>16772</v>
      </c>
      <c r="D491" s="153">
        <f t="shared" si="7"/>
        <v>1.0482500000000001</v>
      </c>
      <c r="E491" s="43">
        <v>30970.242560640167</v>
      </c>
      <c r="F491" s="140">
        <v>0.95206511714667386</v>
      </c>
    </row>
    <row r="492" spans="1:6">
      <c r="A492" s="149" t="s">
        <v>2962</v>
      </c>
      <c r="B492" s="144" t="s">
        <v>548</v>
      </c>
      <c r="C492" s="44">
        <v>16772</v>
      </c>
      <c r="D492" s="153">
        <f t="shared" si="7"/>
        <v>1.0482500000000001</v>
      </c>
      <c r="E492" s="43">
        <v>30970.242560640167</v>
      </c>
      <c r="F492" s="140">
        <v>0.95206511714667386</v>
      </c>
    </row>
    <row r="493" spans="1:6">
      <c r="A493" s="149" t="s">
        <v>2962</v>
      </c>
      <c r="B493" s="144" t="s">
        <v>549</v>
      </c>
      <c r="C493" s="44">
        <v>16772</v>
      </c>
      <c r="D493" s="153">
        <f t="shared" si="7"/>
        <v>1.0482500000000001</v>
      </c>
      <c r="E493" s="43">
        <v>30970.242560640167</v>
      </c>
      <c r="F493" s="140">
        <v>0.95206511714667386</v>
      </c>
    </row>
    <row r="494" spans="1:6">
      <c r="A494" s="149" t="s">
        <v>2962</v>
      </c>
      <c r="B494" s="144" t="s">
        <v>550</v>
      </c>
      <c r="C494" s="44">
        <v>16772</v>
      </c>
      <c r="D494" s="153">
        <f t="shared" si="7"/>
        <v>1.0482500000000001</v>
      </c>
      <c r="E494" s="43">
        <v>30970.242560640167</v>
      </c>
      <c r="F494" s="140">
        <v>0.95206511714667386</v>
      </c>
    </row>
    <row r="495" spans="1:6">
      <c r="A495" s="149" t="s">
        <v>2962</v>
      </c>
      <c r="B495" s="144" t="s">
        <v>551</v>
      </c>
      <c r="C495" s="44">
        <v>16772</v>
      </c>
      <c r="D495" s="153">
        <f t="shared" si="7"/>
        <v>1.0482500000000001</v>
      </c>
      <c r="E495" s="43">
        <v>30970.242560640167</v>
      </c>
      <c r="F495" s="140">
        <v>0.95206511714667386</v>
      </c>
    </row>
    <row r="496" spans="1:6">
      <c r="A496" s="149" t="s">
        <v>2962</v>
      </c>
      <c r="B496" s="144" t="s">
        <v>552</v>
      </c>
      <c r="C496" s="44">
        <v>16772</v>
      </c>
      <c r="D496" s="153">
        <f t="shared" si="7"/>
        <v>1.0482500000000001</v>
      </c>
      <c r="E496" s="43">
        <v>30970.242560640167</v>
      </c>
      <c r="F496" s="140">
        <v>0.95206511714667386</v>
      </c>
    </row>
    <row r="497" spans="1:6">
      <c r="A497" s="149" t="s">
        <v>2962</v>
      </c>
      <c r="B497" s="144" t="s">
        <v>553</v>
      </c>
      <c r="C497" s="44">
        <v>16772</v>
      </c>
      <c r="D497" s="153">
        <f t="shared" si="7"/>
        <v>1.0482500000000001</v>
      </c>
      <c r="E497" s="43">
        <v>30970.242560640167</v>
      </c>
      <c r="F497" s="140">
        <v>0.95206511714667386</v>
      </c>
    </row>
    <row r="498" spans="1:6">
      <c r="A498" s="149" t="s">
        <v>2962</v>
      </c>
      <c r="B498" s="144" t="s">
        <v>554</v>
      </c>
      <c r="C498" s="44">
        <v>16772</v>
      </c>
      <c r="D498" s="153">
        <f t="shared" si="7"/>
        <v>1.0482500000000001</v>
      </c>
      <c r="E498" s="43">
        <v>30970.242560640167</v>
      </c>
      <c r="F498" s="140">
        <v>0.95206511714667386</v>
      </c>
    </row>
    <row r="499" spans="1:6">
      <c r="A499" s="149" t="s">
        <v>2962</v>
      </c>
      <c r="B499" s="144" t="s">
        <v>555</v>
      </c>
      <c r="C499" s="44">
        <v>16772</v>
      </c>
      <c r="D499" s="153">
        <f t="shared" si="7"/>
        <v>1.0482500000000001</v>
      </c>
      <c r="E499" s="43">
        <v>30970.242560640167</v>
      </c>
      <c r="F499" s="140">
        <v>0.95206511714667386</v>
      </c>
    </row>
    <row r="500" spans="1:6">
      <c r="A500" s="149" t="s">
        <v>2962</v>
      </c>
      <c r="B500" s="144" t="s">
        <v>556</v>
      </c>
      <c r="C500" s="44">
        <v>16772</v>
      </c>
      <c r="D500" s="153">
        <f t="shared" si="7"/>
        <v>1.0482500000000001</v>
      </c>
      <c r="E500" s="43">
        <v>30970.242560640167</v>
      </c>
      <c r="F500" s="140">
        <v>0.95206511714667386</v>
      </c>
    </row>
    <row r="501" spans="1:6">
      <c r="A501" s="149" t="s">
        <v>2962</v>
      </c>
      <c r="B501" s="144" t="s">
        <v>557</v>
      </c>
      <c r="C501" s="44">
        <v>16772</v>
      </c>
      <c r="D501" s="153">
        <f t="shared" si="7"/>
        <v>1.0482500000000001</v>
      </c>
      <c r="E501" s="43">
        <v>30970.242560640167</v>
      </c>
      <c r="F501" s="140">
        <v>0.95206511714667386</v>
      </c>
    </row>
    <row r="502" spans="1:6">
      <c r="A502" s="149" t="s">
        <v>2962</v>
      </c>
      <c r="B502" s="144" t="s">
        <v>558</v>
      </c>
      <c r="C502" s="44">
        <v>16772</v>
      </c>
      <c r="D502" s="153">
        <f t="shared" si="7"/>
        <v>1.0482500000000001</v>
      </c>
      <c r="E502" s="43">
        <v>30970.242560640167</v>
      </c>
      <c r="F502" s="140">
        <v>0.95206511714667386</v>
      </c>
    </row>
    <row r="503" spans="1:6">
      <c r="A503" s="149" t="s">
        <v>2962</v>
      </c>
      <c r="B503" s="144" t="s">
        <v>559</v>
      </c>
      <c r="C503" s="44">
        <v>16772</v>
      </c>
      <c r="D503" s="153">
        <f t="shared" si="7"/>
        <v>1.0482500000000001</v>
      </c>
      <c r="E503" s="43">
        <v>30970.242560640167</v>
      </c>
      <c r="F503" s="140">
        <v>0.95206511714667386</v>
      </c>
    </row>
    <row r="504" spans="1:6">
      <c r="A504" s="149" t="s">
        <v>2962</v>
      </c>
      <c r="B504" s="144" t="s">
        <v>560</v>
      </c>
      <c r="C504" s="44">
        <v>16772</v>
      </c>
      <c r="D504" s="153">
        <f t="shared" si="7"/>
        <v>1.0482500000000001</v>
      </c>
      <c r="E504" s="43">
        <v>30970.242560640167</v>
      </c>
      <c r="F504" s="140">
        <v>0.95206511714667386</v>
      </c>
    </row>
    <row r="505" spans="1:6">
      <c r="A505" s="149" t="s">
        <v>2962</v>
      </c>
      <c r="B505" s="144" t="s">
        <v>561</v>
      </c>
      <c r="C505" s="44">
        <v>16772</v>
      </c>
      <c r="D505" s="153">
        <f t="shared" si="7"/>
        <v>1.0482500000000001</v>
      </c>
      <c r="E505" s="43">
        <v>30970.242560640167</v>
      </c>
      <c r="F505" s="140">
        <v>0.95206511714667386</v>
      </c>
    </row>
    <row r="506" spans="1:6">
      <c r="A506" s="149" t="s">
        <v>2962</v>
      </c>
      <c r="B506" s="144" t="s">
        <v>562</v>
      </c>
      <c r="C506" s="44">
        <v>16772</v>
      </c>
      <c r="D506" s="153">
        <f t="shared" si="7"/>
        <v>1.0482500000000001</v>
      </c>
      <c r="E506" s="43">
        <v>30970.242560640167</v>
      </c>
      <c r="F506" s="140">
        <v>0.95206511714667386</v>
      </c>
    </row>
    <row r="507" spans="1:6">
      <c r="A507" s="149" t="s">
        <v>2962</v>
      </c>
      <c r="B507" s="144" t="s">
        <v>563</v>
      </c>
      <c r="C507" s="44">
        <v>16772</v>
      </c>
      <c r="D507" s="153">
        <f t="shared" si="7"/>
        <v>1.0482500000000001</v>
      </c>
      <c r="E507" s="43">
        <v>30970.242560640167</v>
      </c>
      <c r="F507" s="140">
        <v>0.95206511714667386</v>
      </c>
    </row>
    <row r="508" spans="1:6">
      <c r="A508" s="149" t="s">
        <v>2962</v>
      </c>
      <c r="B508" s="144" t="s">
        <v>564</v>
      </c>
      <c r="C508" s="44">
        <v>16772</v>
      </c>
      <c r="D508" s="153">
        <f t="shared" si="7"/>
        <v>1.0482500000000001</v>
      </c>
      <c r="E508" s="43">
        <v>30970.242560640167</v>
      </c>
      <c r="F508" s="140">
        <v>0.95206511714667386</v>
      </c>
    </row>
    <row r="509" spans="1:6">
      <c r="A509" s="149" t="s">
        <v>2962</v>
      </c>
      <c r="B509" s="144" t="s">
        <v>565</v>
      </c>
      <c r="C509" s="44">
        <v>16772</v>
      </c>
      <c r="D509" s="153">
        <f t="shared" si="7"/>
        <v>1.0482500000000001</v>
      </c>
      <c r="E509" s="43">
        <v>30970.242560640167</v>
      </c>
      <c r="F509" s="140">
        <v>0.95206511714667386</v>
      </c>
    </row>
    <row r="510" spans="1:6">
      <c r="A510" s="149" t="s">
        <v>2962</v>
      </c>
      <c r="B510" s="144" t="s">
        <v>566</v>
      </c>
      <c r="C510" s="44">
        <v>16772</v>
      </c>
      <c r="D510" s="153">
        <f t="shared" si="7"/>
        <v>1.0482500000000001</v>
      </c>
      <c r="E510" s="43">
        <v>30970.242560640167</v>
      </c>
      <c r="F510" s="140">
        <v>0.95206511714667386</v>
      </c>
    </row>
    <row r="511" spans="1:6">
      <c r="A511" s="149" t="s">
        <v>2962</v>
      </c>
      <c r="B511" s="144" t="s">
        <v>567</v>
      </c>
      <c r="C511" s="44">
        <v>16772</v>
      </c>
      <c r="D511" s="153">
        <f t="shared" si="7"/>
        <v>1.0482500000000001</v>
      </c>
      <c r="E511" s="43">
        <v>30970.242560640167</v>
      </c>
      <c r="F511" s="140">
        <v>0.95206511714667386</v>
      </c>
    </row>
    <row r="512" spans="1:6">
      <c r="A512" s="149" t="s">
        <v>2962</v>
      </c>
      <c r="B512" s="144" t="s">
        <v>568</v>
      </c>
      <c r="C512" s="44">
        <v>16772</v>
      </c>
      <c r="D512" s="153">
        <f t="shared" si="7"/>
        <v>1.0482500000000001</v>
      </c>
      <c r="E512" s="43">
        <v>30970.242560640167</v>
      </c>
      <c r="F512" s="140">
        <v>0.95206511714667386</v>
      </c>
    </row>
    <row r="513" spans="1:6">
      <c r="A513" s="149" t="s">
        <v>2962</v>
      </c>
      <c r="B513" s="144" t="s">
        <v>569</v>
      </c>
      <c r="C513" s="44">
        <v>16772</v>
      </c>
      <c r="D513" s="153">
        <f t="shared" si="7"/>
        <v>1.0482500000000001</v>
      </c>
      <c r="E513" s="43">
        <v>30970.242560640167</v>
      </c>
      <c r="F513" s="140">
        <v>0.95206511714667386</v>
      </c>
    </row>
    <row r="514" spans="1:6">
      <c r="A514" s="149" t="s">
        <v>2962</v>
      </c>
      <c r="B514" s="144" t="s">
        <v>570</v>
      </c>
      <c r="C514" s="44">
        <v>16772</v>
      </c>
      <c r="D514" s="153">
        <f t="shared" si="7"/>
        <v>1.0482500000000001</v>
      </c>
      <c r="E514" s="43">
        <v>30970.242560640167</v>
      </c>
      <c r="F514" s="140">
        <v>0.95206511714667386</v>
      </c>
    </row>
    <row r="515" spans="1:6">
      <c r="A515" s="149" t="s">
        <v>2962</v>
      </c>
      <c r="B515" s="144" t="s">
        <v>571</v>
      </c>
      <c r="C515" s="44">
        <v>16772</v>
      </c>
      <c r="D515" s="153">
        <f t="shared" si="7"/>
        <v>1.0482500000000001</v>
      </c>
      <c r="E515" s="43">
        <v>30970.242560640167</v>
      </c>
      <c r="F515" s="140">
        <v>0.95206511714667386</v>
      </c>
    </row>
    <row r="516" spans="1:6">
      <c r="A516" s="149" t="s">
        <v>2962</v>
      </c>
      <c r="B516" s="144" t="s">
        <v>572</v>
      </c>
      <c r="C516" s="44">
        <v>16772</v>
      </c>
      <c r="D516" s="153">
        <f t="shared" si="7"/>
        <v>1.0482500000000001</v>
      </c>
      <c r="E516" s="43">
        <v>30970.242560640167</v>
      </c>
      <c r="F516" s="140">
        <v>0.95206511714667386</v>
      </c>
    </row>
    <row r="517" spans="1:6">
      <c r="A517" s="149" t="s">
        <v>2962</v>
      </c>
      <c r="B517" s="144" t="s">
        <v>573</v>
      </c>
      <c r="C517" s="44">
        <v>16772</v>
      </c>
      <c r="D517" s="153">
        <f t="shared" si="7"/>
        <v>1.0482500000000001</v>
      </c>
      <c r="E517" s="43">
        <v>30970.242560640167</v>
      </c>
      <c r="F517" s="140">
        <v>0.95206511714667386</v>
      </c>
    </row>
    <row r="518" spans="1:6">
      <c r="A518" s="149" t="s">
        <v>2962</v>
      </c>
      <c r="B518" s="144" t="s">
        <v>574</v>
      </c>
      <c r="C518" s="44">
        <v>16772</v>
      </c>
      <c r="D518" s="153">
        <f t="shared" si="7"/>
        <v>1.0482500000000001</v>
      </c>
      <c r="E518" s="43">
        <v>30970.242560640167</v>
      </c>
      <c r="F518" s="140">
        <v>0.95206511714667386</v>
      </c>
    </row>
    <row r="519" spans="1:6">
      <c r="A519" s="149" t="s">
        <v>2962</v>
      </c>
      <c r="B519" s="144" t="s">
        <v>575</v>
      </c>
      <c r="C519" s="44">
        <v>16772</v>
      </c>
      <c r="D519" s="153">
        <f t="shared" ref="D519:D582" si="8">C519/32768*4.096/2</f>
        <v>1.0482500000000001</v>
      </c>
      <c r="E519" s="43">
        <v>30970.242560640167</v>
      </c>
      <c r="F519" s="140">
        <v>0.95206511714667386</v>
      </c>
    </row>
    <row r="520" spans="1:6">
      <c r="A520" s="149" t="s">
        <v>2962</v>
      </c>
      <c r="B520" s="144" t="s">
        <v>576</v>
      </c>
      <c r="C520" s="44">
        <v>16772</v>
      </c>
      <c r="D520" s="153">
        <f t="shared" si="8"/>
        <v>1.0482500000000001</v>
      </c>
      <c r="E520" s="43">
        <v>30970.242560640167</v>
      </c>
      <c r="F520" s="140">
        <v>0.95206511714667386</v>
      </c>
    </row>
    <row r="521" spans="1:6">
      <c r="A521" s="149" t="s">
        <v>2962</v>
      </c>
      <c r="B521" s="144" t="s">
        <v>577</v>
      </c>
      <c r="C521" s="44">
        <v>16772</v>
      </c>
      <c r="D521" s="153">
        <f t="shared" si="8"/>
        <v>1.0482500000000001</v>
      </c>
      <c r="E521" s="43">
        <v>30970.242560640167</v>
      </c>
      <c r="F521" s="140">
        <v>0.95206511714667386</v>
      </c>
    </row>
    <row r="522" spans="1:6">
      <c r="A522" s="149" t="s">
        <v>2962</v>
      </c>
      <c r="B522" s="144" t="s">
        <v>578</v>
      </c>
      <c r="C522" s="44">
        <v>16772</v>
      </c>
      <c r="D522" s="153">
        <f t="shared" si="8"/>
        <v>1.0482500000000001</v>
      </c>
      <c r="E522" s="43">
        <v>30970.242560640167</v>
      </c>
      <c r="F522" s="140">
        <v>0.95206511714667386</v>
      </c>
    </row>
    <row r="523" spans="1:6">
      <c r="A523" s="149" t="s">
        <v>2962</v>
      </c>
      <c r="B523" s="144" t="s">
        <v>579</v>
      </c>
      <c r="C523" s="44">
        <v>16772</v>
      </c>
      <c r="D523" s="153">
        <f t="shared" si="8"/>
        <v>1.0482500000000001</v>
      </c>
      <c r="E523" s="43">
        <v>30970.242560640167</v>
      </c>
      <c r="F523" s="140">
        <v>0.95206511714667386</v>
      </c>
    </row>
    <row r="524" spans="1:6">
      <c r="A524" s="149" t="s">
        <v>2962</v>
      </c>
      <c r="B524" s="144" t="s">
        <v>580</v>
      </c>
      <c r="C524" s="44">
        <v>16772</v>
      </c>
      <c r="D524" s="153">
        <f t="shared" si="8"/>
        <v>1.0482500000000001</v>
      </c>
      <c r="E524" s="43">
        <v>30970.242560640167</v>
      </c>
      <c r="F524" s="140">
        <v>0.95206511714667386</v>
      </c>
    </row>
    <row r="525" spans="1:6">
      <c r="A525" s="149" t="s">
        <v>2962</v>
      </c>
      <c r="B525" s="144" t="s">
        <v>581</v>
      </c>
      <c r="C525" s="44">
        <v>16772</v>
      </c>
      <c r="D525" s="153">
        <f t="shared" si="8"/>
        <v>1.0482500000000001</v>
      </c>
      <c r="E525" s="43">
        <v>30970.242560640167</v>
      </c>
      <c r="F525" s="140">
        <v>0.95206511714667386</v>
      </c>
    </row>
    <row r="526" spans="1:6">
      <c r="A526" s="149" t="s">
        <v>2962</v>
      </c>
      <c r="B526" s="144" t="s">
        <v>582</v>
      </c>
      <c r="C526" s="44">
        <v>16772</v>
      </c>
      <c r="D526" s="153">
        <f t="shared" si="8"/>
        <v>1.0482500000000001</v>
      </c>
      <c r="E526" s="43">
        <v>30970.242560640167</v>
      </c>
      <c r="F526" s="140">
        <v>0.95206511714667386</v>
      </c>
    </row>
    <row r="527" spans="1:6">
      <c r="A527" s="149" t="s">
        <v>2962</v>
      </c>
      <c r="B527" s="144" t="s">
        <v>583</v>
      </c>
      <c r="C527" s="44">
        <v>16773</v>
      </c>
      <c r="D527" s="153">
        <f t="shared" si="8"/>
        <v>1.0483125</v>
      </c>
      <c r="E527" s="43">
        <v>30972.804001250392</v>
      </c>
      <c r="F527" s="140">
        <v>0.95043418103671229</v>
      </c>
    </row>
    <row r="528" spans="1:6">
      <c r="A528" s="149" t="s">
        <v>2962</v>
      </c>
      <c r="B528" s="144" t="s">
        <v>584</v>
      </c>
      <c r="C528" s="44">
        <v>16772</v>
      </c>
      <c r="D528" s="153">
        <f t="shared" si="8"/>
        <v>1.0482500000000001</v>
      </c>
      <c r="E528" s="43">
        <v>30970.242560640167</v>
      </c>
      <c r="F528" s="140">
        <v>0.95206511714667386</v>
      </c>
    </row>
    <row r="529" spans="1:6">
      <c r="A529" s="149" t="s">
        <v>2962</v>
      </c>
      <c r="B529" s="144" t="s">
        <v>585</v>
      </c>
      <c r="C529" s="44">
        <v>16773</v>
      </c>
      <c r="D529" s="153">
        <f t="shared" si="8"/>
        <v>1.0483125</v>
      </c>
      <c r="E529" s="43">
        <v>30972.804001250392</v>
      </c>
      <c r="F529" s="140">
        <v>0.95043418103671229</v>
      </c>
    </row>
    <row r="530" spans="1:6">
      <c r="A530" s="149" t="s">
        <v>2962</v>
      </c>
      <c r="B530" s="144" t="s">
        <v>586</v>
      </c>
      <c r="C530" s="44">
        <v>16773</v>
      </c>
      <c r="D530" s="153">
        <f t="shared" si="8"/>
        <v>1.0483125</v>
      </c>
      <c r="E530" s="43">
        <v>30972.804001250392</v>
      </c>
      <c r="F530" s="140">
        <v>0.95043418103671229</v>
      </c>
    </row>
    <row r="531" spans="1:6">
      <c r="A531" s="149" t="s">
        <v>2962</v>
      </c>
      <c r="B531" s="144" t="s">
        <v>587</v>
      </c>
      <c r="C531" s="44">
        <v>16772</v>
      </c>
      <c r="D531" s="153">
        <f t="shared" si="8"/>
        <v>1.0482500000000001</v>
      </c>
      <c r="E531" s="43">
        <v>30970.242560640167</v>
      </c>
      <c r="F531" s="140">
        <v>0.95206511714667386</v>
      </c>
    </row>
    <row r="532" spans="1:6">
      <c r="A532" s="149" t="s">
        <v>2962</v>
      </c>
      <c r="B532" s="144" t="s">
        <v>588</v>
      </c>
      <c r="C532" s="44">
        <v>16772</v>
      </c>
      <c r="D532" s="153">
        <f t="shared" si="8"/>
        <v>1.0482500000000001</v>
      </c>
      <c r="E532" s="43">
        <v>30970.242560640167</v>
      </c>
      <c r="F532" s="140">
        <v>0.95206511714667386</v>
      </c>
    </row>
    <row r="533" spans="1:6">
      <c r="A533" s="149" t="s">
        <v>2962</v>
      </c>
      <c r="B533" s="144" t="s">
        <v>589</v>
      </c>
      <c r="C533" s="44">
        <v>16772</v>
      </c>
      <c r="D533" s="153">
        <f t="shared" si="8"/>
        <v>1.0482500000000001</v>
      </c>
      <c r="E533" s="43">
        <v>30970.242560640167</v>
      </c>
      <c r="F533" s="140">
        <v>0.95206511714667386</v>
      </c>
    </row>
    <row r="534" spans="1:6">
      <c r="A534" s="149" t="s">
        <v>2962</v>
      </c>
      <c r="B534" s="144" t="s">
        <v>590</v>
      </c>
      <c r="C534" s="44">
        <v>16772</v>
      </c>
      <c r="D534" s="153">
        <f t="shared" si="8"/>
        <v>1.0482500000000001</v>
      </c>
      <c r="E534" s="43">
        <v>30970.242560640167</v>
      </c>
      <c r="F534" s="140">
        <v>0.95206511714667386</v>
      </c>
    </row>
    <row r="535" spans="1:6">
      <c r="A535" s="149" t="s">
        <v>2962</v>
      </c>
      <c r="B535" s="144" t="s">
        <v>591</v>
      </c>
      <c r="C535" s="44">
        <v>16773</v>
      </c>
      <c r="D535" s="153">
        <f t="shared" si="8"/>
        <v>1.0483125</v>
      </c>
      <c r="E535" s="43">
        <v>30972.804001250392</v>
      </c>
      <c r="F535" s="140">
        <v>0.95043418103671229</v>
      </c>
    </row>
    <row r="536" spans="1:6">
      <c r="A536" s="149" t="s">
        <v>2962</v>
      </c>
      <c r="B536" s="144" t="s">
        <v>592</v>
      </c>
      <c r="C536" s="44">
        <v>16773</v>
      </c>
      <c r="D536" s="153">
        <f t="shared" si="8"/>
        <v>1.0483125</v>
      </c>
      <c r="E536" s="43">
        <v>30972.804001250392</v>
      </c>
      <c r="F536" s="140">
        <v>0.95043418103671229</v>
      </c>
    </row>
    <row r="537" spans="1:6">
      <c r="A537" s="149" t="s">
        <v>2962</v>
      </c>
      <c r="B537" s="144" t="s">
        <v>593</v>
      </c>
      <c r="C537" s="44">
        <v>16773</v>
      </c>
      <c r="D537" s="153">
        <f t="shared" si="8"/>
        <v>1.0483125</v>
      </c>
      <c r="E537" s="43">
        <v>30972.804001250392</v>
      </c>
      <c r="F537" s="140">
        <v>0.95043418103671229</v>
      </c>
    </row>
    <row r="538" spans="1:6">
      <c r="A538" s="149" t="s">
        <v>2962</v>
      </c>
      <c r="B538" s="144" t="s">
        <v>594</v>
      </c>
      <c r="C538" s="44">
        <v>16773</v>
      </c>
      <c r="D538" s="153">
        <f t="shared" si="8"/>
        <v>1.0483125</v>
      </c>
      <c r="E538" s="43">
        <v>30972.804001250392</v>
      </c>
      <c r="F538" s="140">
        <v>0.95043418103671229</v>
      </c>
    </row>
    <row r="539" spans="1:6">
      <c r="A539" s="149" t="s">
        <v>2962</v>
      </c>
      <c r="B539" s="144" t="s">
        <v>595</v>
      </c>
      <c r="C539" s="44">
        <v>16773</v>
      </c>
      <c r="D539" s="153">
        <f t="shared" si="8"/>
        <v>1.0483125</v>
      </c>
      <c r="E539" s="43">
        <v>30972.804001250392</v>
      </c>
      <c r="F539" s="140">
        <v>0.95043418103671229</v>
      </c>
    </row>
    <row r="540" spans="1:6">
      <c r="A540" s="149" t="s">
        <v>2962</v>
      </c>
      <c r="B540" s="144" t="s">
        <v>596</v>
      </c>
      <c r="C540" s="44">
        <v>16773</v>
      </c>
      <c r="D540" s="153">
        <f t="shared" si="8"/>
        <v>1.0483125</v>
      </c>
      <c r="E540" s="43">
        <v>30972.804001250392</v>
      </c>
      <c r="F540" s="140">
        <v>0.95043418103671229</v>
      </c>
    </row>
    <row r="541" spans="1:6">
      <c r="A541" s="149" t="s">
        <v>2962</v>
      </c>
      <c r="B541" s="144" t="s">
        <v>597</v>
      </c>
      <c r="C541" s="44">
        <v>16772</v>
      </c>
      <c r="D541" s="153">
        <f t="shared" si="8"/>
        <v>1.0482500000000001</v>
      </c>
      <c r="E541" s="43">
        <v>30970.242560640167</v>
      </c>
      <c r="F541" s="140">
        <v>0.95206511714667386</v>
      </c>
    </row>
    <row r="542" spans="1:6">
      <c r="A542" s="149" t="s">
        <v>2962</v>
      </c>
      <c r="B542" s="144" t="s">
        <v>598</v>
      </c>
      <c r="C542" s="44">
        <v>16773</v>
      </c>
      <c r="D542" s="153">
        <f t="shared" si="8"/>
        <v>1.0483125</v>
      </c>
      <c r="E542" s="43">
        <v>30972.804001250392</v>
      </c>
      <c r="F542" s="140">
        <v>0.95043418103671229</v>
      </c>
    </row>
    <row r="543" spans="1:6">
      <c r="A543" s="149" t="s">
        <v>2962</v>
      </c>
      <c r="B543" s="144" t="s">
        <v>599</v>
      </c>
      <c r="C543" s="44">
        <v>16773</v>
      </c>
      <c r="D543" s="153">
        <f t="shared" si="8"/>
        <v>1.0483125</v>
      </c>
      <c r="E543" s="43">
        <v>30972.804001250392</v>
      </c>
      <c r="F543" s="140">
        <v>0.95043418103671229</v>
      </c>
    </row>
    <row r="544" spans="1:6">
      <c r="A544" s="149" t="s">
        <v>2962</v>
      </c>
      <c r="B544" s="144" t="s">
        <v>600</v>
      </c>
      <c r="C544" s="44">
        <v>16773</v>
      </c>
      <c r="D544" s="153">
        <f t="shared" si="8"/>
        <v>1.0483125</v>
      </c>
      <c r="E544" s="43">
        <v>30972.804001250392</v>
      </c>
      <c r="F544" s="140">
        <v>0.95043418103671229</v>
      </c>
    </row>
    <row r="545" spans="1:6">
      <c r="A545" s="149" t="s">
        <v>2962</v>
      </c>
      <c r="B545" s="144" t="s">
        <v>601</v>
      </c>
      <c r="C545" s="44">
        <v>16773</v>
      </c>
      <c r="D545" s="153">
        <f t="shared" si="8"/>
        <v>1.0483125</v>
      </c>
      <c r="E545" s="43">
        <v>30972.804001250392</v>
      </c>
      <c r="F545" s="140">
        <v>0.95043418103671229</v>
      </c>
    </row>
    <row r="546" spans="1:6">
      <c r="A546" s="149" t="s">
        <v>2962</v>
      </c>
      <c r="B546" s="144" t="s">
        <v>602</v>
      </c>
      <c r="C546" s="44">
        <v>16773</v>
      </c>
      <c r="D546" s="153">
        <f t="shared" si="8"/>
        <v>1.0483125</v>
      </c>
      <c r="E546" s="43">
        <v>30972.804001250392</v>
      </c>
      <c r="F546" s="140">
        <v>0.95043418103671229</v>
      </c>
    </row>
    <row r="547" spans="1:6">
      <c r="A547" s="149" t="s">
        <v>2962</v>
      </c>
      <c r="B547" s="144" t="s">
        <v>603</v>
      </c>
      <c r="C547" s="44">
        <v>16773</v>
      </c>
      <c r="D547" s="153">
        <f t="shared" si="8"/>
        <v>1.0483125</v>
      </c>
      <c r="E547" s="43">
        <v>30972.804001250392</v>
      </c>
      <c r="F547" s="140">
        <v>0.95043418103671229</v>
      </c>
    </row>
    <row r="548" spans="1:6">
      <c r="A548" s="149" t="s">
        <v>2962</v>
      </c>
      <c r="B548" s="144" t="s">
        <v>604</v>
      </c>
      <c r="C548" s="44">
        <v>16772</v>
      </c>
      <c r="D548" s="153">
        <f t="shared" si="8"/>
        <v>1.0482500000000001</v>
      </c>
      <c r="E548" s="43">
        <v>30970.242560640167</v>
      </c>
      <c r="F548" s="140">
        <v>0.95206511714667386</v>
      </c>
    </row>
    <row r="549" spans="1:6">
      <c r="A549" s="149" t="s">
        <v>2962</v>
      </c>
      <c r="B549" s="144" t="s">
        <v>605</v>
      </c>
      <c r="C549" s="44">
        <v>16772</v>
      </c>
      <c r="D549" s="153">
        <f t="shared" si="8"/>
        <v>1.0482500000000001</v>
      </c>
      <c r="E549" s="43">
        <v>30970.242560640167</v>
      </c>
      <c r="F549" s="140">
        <v>0.95206511714667386</v>
      </c>
    </row>
    <row r="550" spans="1:6">
      <c r="A550" s="149" t="s">
        <v>2962</v>
      </c>
      <c r="B550" s="144" t="s">
        <v>606</v>
      </c>
      <c r="C550" s="44">
        <v>16772</v>
      </c>
      <c r="D550" s="153">
        <f t="shared" si="8"/>
        <v>1.0482500000000001</v>
      </c>
      <c r="E550" s="43">
        <v>30970.242560640167</v>
      </c>
      <c r="F550" s="140">
        <v>0.95206511714667386</v>
      </c>
    </row>
    <row r="551" spans="1:6">
      <c r="A551" s="149" t="s">
        <v>2962</v>
      </c>
      <c r="B551" s="144" t="s">
        <v>607</v>
      </c>
      <c r="C551" s="44">
        <v>16772</v>
      </c>
      <c r="D551" s="153">
        <f t="shared" si="8"/>
        <v>1.0482500000000001</v>
      </c>
      <c r="E551" s="43">
        <v>30970.242560640167</v>
      </c>
      <c r="F551" s="140">
        <v>0.95206511714667386</v>
      </c>
    </row>
    <row r="552" spans="1:6">
      <c r="A552" s="149" t="s">
        <v>2962</v>
      </c>
      <c r="B552" s="144" t="s">
        <v>608</v>
      </c>
      <c r="C552" s="44">
        <v>16772</v>
      </c>
      <c r="D552" s="153">
        <f t="shared" si="8"/>
        <v>1.0482500000000001</v>
      </c>
      <c r="E552" s="43">
        <v>30970.242560640167</v>
      </c>
      <c r="F552" s="140">
        <v>0.95206511714667386</v>
      </c>
    </row>
    <row r="553" spans="1:6">
      <c r="A553" s="149" t="s">
        <v>2962</v>
      </c>
      <c r="B553" s="144" t="s">
        <v>609</v>
      </c>
      <c r="C553" s="44">
        <v>16772</v>
      </c>
      <c r="D553" s="153">
        <f t="shared" si="8"/>
        <v>1.0482500000000001</v>
      </c>
      <c r="E553" s="43">
        <v>30970.242560640167</v>
      </c>
      <c r="F553" s="140">
        <v>0.95206511714667386</v>
      </c>
    </row>
    <row r="554" spans="1:6">
      <c r="A554" s="149" t="s">
        <v>2962</v>
      </c>
      <c r="B554" s="144" t="s">
        <v>610</v>
      </c>
      <c r="C554" s="44">
        <v>16772</v>
      </c>
      <c r="D554" s="153">
        <f t="shared" si="8"/>
        <v>1.0482500000000001</v>
      </c>
      <c r="E554" s="43">
        <v>30970.242560640167</v>
      </c>
      <c r="F554" s="140">
        <v>0.95206511714667386</v>
      </c>
    </row>
    <row r="555" spans="1:6">
      <c r="A555" s="149" t="s">
        <v>2962</v>
      </c>
      <c r="B555" s="144" t="s">
        <v>611</v>
      </c>
      <c r="C555" s="44">
        <v>16772</v>
      </c>
      <c r="D555" s="153">
        <f t="shared" si="8"/>
        <v>1.0482500000000001</v>
      </c>
      <c r="E555" s="43">
        <v>30970.242560640167</v>
      </c>
      <c r="F555" s="140">
        <v>0.95206511714667386</v>
      </c>
    </row>
    <row r="556" spans="1:6">
      <c r="A556" s="149" t="s">
        <v>2962</v>
      </c>
      <c r="B556" s="144" t="s">
        <v>612</v>
      </c>
      <c r="C556" s="44">
        <v>16772</v>
      </c>
      <c r="D556" s="153">
        <f t="shared" si="8"/>
        <v>1.0482500000000001</v>
      </c>
      <c r="E556" s="43">
        <v>30970.242560640167</v>
      </c>
      <c r="F556" s="140">
        <v>0.95206511714667386</v>
      </c>
    </row>
    <row r="557" spans="1:6">
      <c r="A557" s="149" t="s">
        <v>2962</v>
      </c>
      <c r="B557" s="144" t="s">
        <v>613</v>
      </c>
      <c r="C557" s="44">
        <v>16772</v>
      </c>
      <c r="D557" s="153">
        <f t="shared" si="8"/>
        <v>1.0482500000000001</v>
      </c>
      <c r="E557" s="43">
        <v>30970.242560640167</v>
      </c>
      <c r="F557" s="140">
        <v>0.95206511714667386</v>
      </c>
    </row>
    <row r="558" spans="1:6">
      <c r="A558" s="149" t="s">
        <v>2962</v>
      </c>
      <c r="B558" s="144" t="s">
        <v>614</v>
      </c>
      <c r="C558" s="44">
        <v>16772</v>
      </c>
      <c r="D558" s="153">
        <f t="shared" si="8"/>
        <v>1.0482500000000001</v>
      </c>
      <c r="E558" s="43">
        <v>30970.242560640167</v>
      </c>
      <c r="F558" s="140">
        <v>0.95206511714667386</v>
      </c>
    </row>
    <row r="559" spans="1:6">
      <c r="A559" s="149" t="s">
        <v>2962</v>
      </c>
      <c r="B559" s="144" t="s">
        <v>615</v>
      </c>
      <c r="C559" s="44">
        <v>16772</v>
      </c>
      <c r="D559" s="153">
        <f t="shared" si="8"/>
        <v>1.0482500000000001</v>
      </c>
      <c r="E559" s="43">
        <v>30970.242560640167</v>
      </c>
      <c r="F559" s="140">
        <v>0.95206511714667386</v>
      </c>
    </row>
    <row r="560" spans="1:6">
      <c r="A560" s="149" t="s">
        <v>2962</v>
      </c>
      <c r="B560" s="144" t="s">
        <v>616</v>
      </c>
      <c r="C560" s="44">
        <v>16772</v>
      </c>
      <c r="D560" s="153">
        <f t="shared" si="8"/>
        <v>1.0482500000000001</v>
      </c>
      <c r="E560" s="43">
        <v>30970.242560640167</v>
      </c>
      <c r="F560" s="140">
        <v>0.95206511714667386</v>
      </c>
    </row>
    <row r="561" spans="1:6">
      <c r="A561" s="149" t="s">
        <v>2962</v>
      </c>
      <c r="B561" s="144" t="s">
        <v>617</v>
      </c>
      <c r="C561" s="44">
        <v>16772</v>
      </c>
      <c r="D561" s="153">
        <f t="shared" si="8"/>
        <v>1.0482500000000001</v>
      </c>
      <c r="E561" s="43">
        <v>30970.242560640167</v>
      </c>
      <c r="F561" s="140">
        <v>0.95206511714667386</v>
      </c>
    </row>
    <row r="562" spans="1:6">
      <c r="A562" s="149" t="s">
        <v>2962</v>
      </c>
      <c r="B562" s="144" t="s">
        <v>618</v>
      </c>
      <c r="C562" s="44">
        <v>16772</v>
      </c>
      <c r="D562" s="153">
        <f t="shared" si="8"/>
        <v>1.0482500000000001</v>
      </c>
      <c r="E562" s="43">
        <v>30970.242560640167</v>
      </c>
      <c r="F562" s="140">
        <v>0.95206511714667386</v>
      </c>
    </row>
    <row r="563" spans="1:6">
      <c r="A563" s="149" t="s">
        <v>2962</v>
      </c>
      <c r="B563" s="144" t="s">
        <v>619</v>
      </c>
      <c r="C563" s="44">
        <v>16772</v>
      </c>
      <c r="D563" s="153">
        <f t="shared" si="8"/>
        <v>1.0482500000000001</v>
      </c>
      <c r="E563" s="43">
        <v>30970.242560640167</v>
      </c>
      <c r="F563" s="140">
        <v>0.95206511714667386</v>
      </c>
    </row>
    <row r="564" spans="1:6">
      <c r="A564" s="149" t="s">
        <v>2962</v>
      </c>
      <c r="B564" s="144" t="s">
        <v>620</v>
      </c>
      <c r="C564" s="44">
        <v>16772</v>
      </c>
      <c r="D564" s="153">
        <f t="shared" si="8"/>
        <v>1.0482500000000001</v>
      </c>
      <c r="E564" s="43">
        <v>30970.242560640167</v>
      </c>
      <c r="F564" s="140">
        <v>0.95206511714667386</v>
      </c>
    </row>
    <row r="565" spans="1:6">
      <c r="A565" s="149" t="s">
        <v>2962</v>
      </c>
      <c r="B565" s="144" t="s">
        <v>621</v>
      </c>
      <c r="C565" s="44">
        <v>16772</v>
      </c>
      <c r="D565" s="153">
        <f t="shared" si="8"/>
        <v>1.0482500000000001</v>
      </c>
      <c r="E565" s="43">
        <v>30970.242560640167</v>
      </c>
      <c r="F565" s="140">
        <v>0.95206511714667386</v>
      </c>
    </row>
    <row r="566" spans="1:6">
      <c r="A566" s="149" t="s">
        <v>2962</v>
      </c>
      <c r="B566" s="144" t="s">
        <v>622</v>
      </c>
      <c r="C566" s="44">
        <v>16772</v>
      </c>
      <c r="D566" s="153">
        <f t="shared" si="8"/>
        <v>1.0482500000000001</v>
      </c>
      <c r="E566" s="43">
        <v>30970.242560640167</v>
      </c>
      <c r="F566" s="140">
        <v>0.95206511714667386</v>
      </c>
    </row>
    <row r="567" spans="1:6">
      <c r="A567" s="149" t="s">
        <v>2962</v>
      </c>
      <c r="B567" s="144" t="s">
        <v>623</v>
      </c>
      <c r="C567" s="44">
        <v>16772</v>
      </c>
      <c r="D567" s="153">
        <f t="shared" si="8"/>
        <v>1.0482500000000001</v>
      </c>
      <c r="E567" s="43">
        <v>30970.242560640167</v>
      </c>
      <c r="F567" s="140">
        <v>0.95206511714667386</v>
      </c>
    </row>
    <row r="568" spans="1:6">
      <c r="A568" s="149" t="s">
        <v>2962</v>
      </c>
      <c r="B568" s="144" t="s">
        <v>624</v>
      </c>
      <c r="C568" s="44">
        <v>16772</v>
      </c>
      <c r="D568" s="153">
        <f t="shared" si="8"/>
        <v>1.0482500000000001</v>
      </c>
      <c r="E568" s="43">
        <v>30970.242560640167</v>
      </c>
      <c r="F568" s="140">
        <v>0.95206511714667386</v>
      </c>
    </row>
    <row r="569" spans="1:6">
      <c r="A569" s="149" t="s">
        <v>2962</v>
      </c>
      <c r="B569" s="144" t="s">
        <v>625</v>
      </c>
      <c r="C569" s="44">
        <v>16772</v>
      </c>
      <c r="D569" s="153">
        <f t="shared" si="8"/>
        <v>1.0482500000000001</v>
      </c>
      <c r="E569" s="43">
        <v>30970.242560640167</v>
      </c>
      <c r="F569" s="140">
        <v>0.95206511714667386</v>
      </c>
    </row>
    <row r="570" spans="1:6">
      <c r="A570" s="149" t="s">
        <v>2962</v>
      </c>
      <c r="B570" s="144" t="s">
        <v>626</v>
      </c>
      <c r="C570" s="44">
        <v>16772</v>
      </c>
      <c r="D570" s="153">
        <f t="shared" si="8"/>
        <v>1.0482500000000001</v>
      </c>
      <c r="E570" s="43">
        <v>30970.242560640167</v>
      </c>
      <c r="F570" s="140">
        <v>0.95206511714667386</v>
      </c>
    </row>
    <row r="571" spans="1:6">
      <c r="A571" s="149" t="s">
        <v>2962</v>
      </c>
      <c r="B571" s="144" t="s">
        <v>627</v>
      </c>
      <c r="C571" s="44">
        <v>16772</v>
      </c>
      <c r="D571" s="153">
        <f t="shared" si="8"/>
        <v>1.0482500000000001</v>
      </c>
      <c r="E571" s="43">
        <v>30970.242560640167</v>
      </c>
      <c r="F571" s="140">
        <v>0.95206511714667386</v>
      </c>
    </row>
    <row r="572" spans="1:6">
      <c r="A572" s="149" t="s">
        <v>2962</v>
      </c>
      <c r="B572" s="144" t="s">
        <v>628</v>
      </c>
      <c r="C572" s="44">
        <v>16772</v>
      </c>
      <c r="D572" s="153">
        <f t="shared" si="8"/>
        <v>1.0482500000000001</v>
      </c>
      <c r="E572" s="43">
        <v>30970.242560640167</v>
      </c>
      <c r="F572" s="140">
        <v>0.95206511714667386</v>
      </c>
    </row>
    <row r="573" spans="1:6">
      <c r="A573" s="149" t="s">
        <v>2962</v>
      </c>
      <c r="B573" s="144" t="s">
        <v>629</v>
      </c>
      <c r="C573" s="44">
        <v>16772</v>
      </c>
      <c r="D573" s="153">
        <f t="shared" si="8"/>
        <v>1.0482500000000001</v>
      </c>
      <c r="E573" s="43">
        <v>30970.242560640167</v>
      </c>
      <c r="F573" s="140">
        <v>0.95206511714667386</v>
      </c>
    </row>
    <row r="574" spans="1:6">
      <c r="A574" s="149" t="s">
        <v>2962</v>
      </c>
      <c r="B574" s="144" t="s">
        <v>630</v>
      </c>
      <c r="C574" s="44">
        <v>16772</v>
      </c>
      <c r="D574" s="153">
        <f t="shared" si="8"/>
        <v>1.0482500000000001</v>
      </c>
      <c r="E574" s="43">
        <v>30970.242560640167</v>
      </c>
      <c r="F574" s="140">
        <v>0.95206511714667386</v>
      </c>
    </row>
    <row r="575" spans="1:6">
      <c r="A575" s="149" t="s">
        <v>2962</v>
      </c>
      <c r="B575" s="144" t="s">
        <v>631</v>
      </c>
      <c r="C575" s="44">
        <v>16772</v>
      </c>
      <c r="D575" s="153">
        <f t="shared" si="8"/>
        <v>1.0482500000000001</v>
      </c>
      <c r="E575" s="43">
        <v>30970.242560640167</v>
      </c>
      <c r="F575" s="140">
        <v>0.95206511714667386</v>
      </c>
    </row>
    <row r="576" spans="1:6">
      <c r="A576" s="149" t="s">
        <v>2962</v>
      </c>
      <c r="B576" s="144" t="s">
        <v>632</v>
      </c>
      <c r="C576" s="44">
        <v>16772</v>
      </c>
      <c r="D576" s="153">
        <f t="shared" si="8"/>
        <v>1.0482500000000001</v>
      </c>
      <c r="E576" s="43">
        <v>30970.242560640167</v>
      </c>
      <c r="F576" s="140">
        <v>0.95206511714667386</v>
      </c>
    </row>
    <row r="577" spans="1:6">
      <c r="A577" s="149" t="s">
        <v>2962</v>
      </c>
      <c r="B577" s="144" t="s">
        <v>633</v>
      </c>
      <c r="C577" s="44">
        <v>16772</v>
      </c>
      <c r="D577" s="153">
        <f t="shared" si="8"/>
        <v>1.0482500000000001</v>
      </c>
      <c r="E577" s="43">
        <v>30970.242560640167</v>
      </c>
      <c r="F577" s="140">
        <v>0.95206511714667386</v>
      </c>
    </row>
    <row r="578" spans="1:6">
      <c r="A578" s="149" t="s">
        <v>2962</v>
      </c>
      <c r="B578" s="144" t="s">
        <v>634</v>
      </c>
      <c r="C578" s="44">
        <v>16772</v>
      </c>
      <c r="D578" s="153">
        <f t="shared" si="8"/>
        <v>1.0482500000000001</v>
      </c>
      <c r="E578" s="43">
        <v>30970.242560640167</v>
      </c>
      <c r="F578" s="140">
        <v>0.95206511714667386</v>
      </c>
    </row>
    <row r="579" spans="1:6">
      <c r="A579" s="149" t="s">
        <v>2962</v>
      </c>
      <c r="B579" s="144" t="s">
        <v>635</v>
      </c>
      <c r="C579" s="44">
        <v>16772</v>
      </c>
      <c r="D579" s="153">
        <f t="shared" si="8"/>
        <v>1.0482500000000001</v>
      </c>
      <c r="E579" s="43">
        <v>30970.242560640167</v>
      </c>
      <c r="F579" s="140">
        <v>0.95206511714667386</v>
      </c>
    </row>
    <row r="580" spans="1:6">
      <c r="A580" s="149" t="s">
        <v>2962</v>
      </c>
      <c r="B580" s="144" t="s">
        <v>636</v>
      </c>
      <c r="C580" s="44">
        <v>16772</v>
      </c>
      <c r="D580" s="153">
        <f t="shared" si="8"/>
        <v>1.0482500000000001</v>
      </c>
      <c r="E580" s="43">
        <v>30970.242560640167</v>
      </c>
      <c r="F580" s="140">
        <v>0.95206511714667386</v>
      </c>
    </row>
    <row r="581" spans="1:6">
      <c r="A581" s="149" t="s">
        <v>2962</v>
      </c>
      <c r="B581" s="144" t="s">
        <v>637</v>
      </c>
      <c r="C581" s="44">
        <v>16772</v>
      </c>
      <c r="D581" s="153">
        <f t="shared" si="8"/>
        <v>1.0482500000000001</v>
      </c>
      <c r="E581" s="43">
        <v>30970.242560640167</v>
      </c>
      <c r="F581" s="140">
        <v>0.95206511714667386</v>
      </c>
    </row>
    <row r="582" spans="1:6">
      <c r="A582" s="149" t="s">
        <v>2962</v>
      </c>
      <c r="B582" s="144" t="s">
        <v>638</v>
      </c>
      <c r="C582" s="44">
        <v>16772</v>
      </c>
      <c r="D582" s="153">
        <f t="shared" si="8"/>
        <v>1.0482500000000001</v>
      </c>
      <c r="E582" s="43">
        <v>30970.242560640167</v>
      </c>
      <c r="F582" s="140">
        <v>0.95206511714667386</v>
      </c>
    </row>
    <row r="583" spans="1:6">
      <c r="A583" s="149" t="s">
        <v>2962</v>
      </c>
      <c r="B583" s="144" t="s">
        <v>639</v>
      </c>
      <c r="C583" s="44">
        <v>16772</v>
      </c>
      <c r="D583" s="153">
        <f t="shared" ref="D583:D646" si="9">C583/32768*4.096/2</f>
        <v>1.0482500000000001</v>
      </c>
      <c r="E583" s="43">
        <v>30970.242560640167</v>
      </c>
      <c r="F583" s="140">
        <v>0.95206511714667386</v>
      </c>
    </row>
    <row r="584" spans="1:6">
      <c r="A584" s="149" t="s">
        <v>2962</v>
      </c>
      <c r="B584" s="144" t="s">
        <v>640</v>
      </c>
      <c r="C584" s="44">
        <v>16772</v>
      </c>
      <c r="D584" s="153">
        <f t="shared" si="9"/>
        <v>1.0482500000000001</v>
      </c>
      <c r="E584" s="43">
        <v>30970.242560640167</v>
      </c>
      <c r="F584" s="140">
        <v>0.95206511714667386</v>
      </c>
    </row>
    <row r="585" spans="1:6">
      <c r="A585" s="149" t="s">
        <v>2962</v>
      </c>
      <c r="B585" s="144" t="s">
        <v>641</v>
      </c>
      <c r="C585" s="44">
        <v>16772</v>
      </c>
      <c r="D585" s="153">
        <f t="shared" si="9"/>
        <v>1.0482500000000001</v>
      </c>
      <c r="E585" s="43">
        <v>30970.242560640167</v>
      </c>
      <c r="F585" s="140">
        <v>0.95206511714667386</v>
      </c>
    </row>
    <row r="586" spans="1:6">
      <c r="A586" s="149" t="s">
        <v>2962</v>
      </c>
      <c r="B586" s="144" t="s">
        <v>642</v>
      </c>
      <c r="C586" s="44">
        <v>16772</v>
      </c>
      <c r="D586" s="153">
        <f t="shared" si="9"/>
        <v>1.0482500000000001</v>
      </c>
      <c r="E586" s="43">
        <v>30970.242560640167</v>
      </c>
      <c r="F586" s="140">
        <v>0.95206511714667386</v>
      </c>
    </row>
    <row r="587" spans="1:6">
      <c r="A587" s="149" t="s">
        <v>2962</v>
      </c>
      <c r="B587" s="144" t="s">
        <v>643</v>
      </c>
      <c r="C587" s="44">
        <v>16772</v>
      </c>
      <c r="D587" s="153">
        <f t="shared" si="9"/>
        <v>1.0482500000000001</v>
      </c>
      <c r="E587" s="43">
        <v>30970.242560640167</v>
      </c>
      <c r="F587" s="140">
        <v>0.95206511714667386</v>
      </c>
    </row>
    <row r="588" spans="1:6">
      <c r="A588" s="149" t="s">
        <v>2962</v>
      </c>
      <c r="B588" s="144" t="s">
        <v>644</v>
      </c>
      <c r="C588" s="44">
        <v>16772</v>
      </c>
      <c r="D588" s="153">
        <f t="shared" si="9"/>
        <v>1.0482500000000001</v>
      </c>
      <c r="E588" s="43">
        <v>30970.242560640167</v>
      </c>
      <c r="F588" s="140">
        <v>0.95206511714667386</v>
      </c>
    </row>
    <row r="589" spans="1:6">
      <c r="A589" s="149" t="s">
        <v>2962</v>
      </c>
      <c r="B589" s="144" t="s">
        <v>645</v>
      </c>
      <c r="C589" s="44">
        <v>16772</v>
      </c>
      <c r="D589" s="153">
        <f t="shared" si="9"/>
        <v>1.0482500000000001</v>
      </c>
      <c r="E589" s="43">
        <v>30970.242560640167</v>
      </c>
      <c r="F589" s="140">
        <v>0.95206511714667386</v>
      </c>
    </row>
    <row r="590" spans="1:6">
      <c r="A590" s="149" t="s">
        <v>2962</v>
      </c>
      <c r="B590" s="144" t="s">
        <v>646</v>
      </c>
      <c r="C590" s="44">
        <v>16772</v>
      </c>
      <c r="D590" s="153">
        <f t="shared" si="9"/>
        <v>1.0482500000000001</v>
      </c>
      <c r="E590" s="43">
        <v>30970.242560640167</v>
      </c>
      <c r="F590" s="140">
        <v>0.95206511714667386</v>
      </c>
    </row>
    <row r="591" spans="1:6">
      <c r="A591" s="149" t="s">
        <v>2962</v>
      </c>
      <c r="B591" s="144" t="s">
        <v>647</v>
      </c>
      <c r="C591" s="44">
        <v>16772</v>
      </c>
      <c r="D591" s="153">
        <f t="shared" si="9"/>
        <v>1.0482500000000001</v>
      </c>
      <c r="E591" s="43">
        <v>30970.242560640167</v>
      </c>
      <c r="F591" s="140">
        <v>0.95206511714667386</v>
      </c>
    </row>
    <row r="592" spans="1:6">
      <c r="A592" s="149" t="s">
        <v>2962</v>
      </c>
      <c r="B592" s="144" t="s">
        <v>648</v>
      </c>
      <c r="C592" s="44">
        <v>16772</v>
      </c>
      <c r="D592" s="153">
        <f t="shared" si="9"/>
        <v>1.0482500000000001</v>
      </c>
      <c r="E592" s="43">
        <v>30970.242560640167</v>
      </c>
      <c r="F592" s="140">
        <v>0.95206511714667386</v>
      </c>
    </row>
    <row r="593" spans="1:6">
      <c r="A593" s="149" t="s">
        <v>2962</v>
      </c>
      <c r="B593" s="144" t="s">
        <v>649</v>
      </c>
      <c r="C593" s="44">
        <v>16772</v>
      </c>
      <c r="D593" s="153">
        <f t="shared" si="9"/>
        <v>1.0482500000000001</v>
      </c>
      <c r="E593" s="43">
        <v>30970.242560640167</v>
      </c>
      <c r="F593" s="140">
        <v>0.95206511714667386</v>
      </c>
    </row>
    <row r="594" spans="1:6">
      <c r="A594" s="149" t="s">
        <v>2962</v>
      </c>
      <c r="B594" s="144" t="s">
        <v>650</v>
      </c>
      <c r="C594" s="44">
        <v>16772</v>
      </c>
      <c r="D594" s="153">
        <f t="shared" si="9"/>
        <v>1.0482500000000001</v>
      </c>
      <c r="E594" s="43">
        <v>30970.242560640167</v>
      </c>
      <c r="F594" s="140">
        <v>0.95206511714667386</v>
      </c>
    </row>
    <row r="595" spans="1:6">
      <c r="A595" s="149" t="s">
        <v>2962</v>
      </c>
      <c r="B595" s="144" t="s">
        <v>651</v>
      </c>
      <c r="C595" s="44">
        <v>16773</v>
      </c>
      <c r="D595" s="153">
        <f t="shared" si="9"/>
        <v>1.0483125</v>
      </c>
      <c r="E595" s="43">
        <v>30972.804001250392</v>
      </c>
      <c r="F595" s="140">
        <v>0.95043418103671229</v>
      </c>
    </row>
    <row r="596" spans="1:6">
      <c r="A596" s="149" t="s">
        <v>2962</v>
      </c>
      <c r="B596" s="144" t="s">
        <v>652</v>
      </c>
      <c r="C596" s="44">
        <v>16772</v>
      </c>
      <c r="D596" s="153">
        <f t="shared" si="9"/>
        <v>1.0482500000000001</v>
      </c>
      <c r="E596" s="43">
        <v>30970.242560640167</v>
      </c>
      <c r="F596" s="140">
        <v>0.95206511714667386</v>
      </c>
    </row>
    <row r="597" spans="1:6">
      <c r="A597" s="149" t="s">
        <v>2962</v>
      </c>
      <c r="B597" s="144" t="s">
        <v>653</v>
      </c>
      <c r="C597" s="44">
        <v>16773</v>
      </c>
      <c r="D597" s="153">
        <f t="shared" si="9"/>
        <v>1.0483125</v>
      </c>
      <c r="E597" s="43">
        <v>30972.804001250392</v>
      </c>
      <c r="F597" s="140">
        <v>0.95043418103671229</v>
      </c>
    </row>
    <row r="598" spans="1:6">
      <c r="A598" s="149" t="s">
        <v>2962</v>
      </c>
      <c r="B598" s="144" t="s">
        <v>654</v>
      </c>
      <c r="C598" s="44">
        <v>16773</v>
      </c>
      <c r="D598" s="153">
        <f t="shared" si="9"/>
        <v>1.0483125</v>
      </c>
      <c r="E598" s="43">
        <v>30972.804001250392</v>
      </c>
      <c r="F598" s="140">
        <v>0.95043418103671229</v>
      </c>
    </row>
    <row r="599" spans="1:6">
      <c r="A599" s="149" t="s">
        <v>2962</v>
      </c>
      <c r="B599" s="144" t="s">
        <v>655</v>
      </c>
      <c r="C599" s="44">
        <v>16773</v>
      </c>
      <c r="D599" s="153">
        <f t="shared" si="9"/>
        <v>1.0483125</v>
      </c>
      <c r="E599" s="43">
        <v>30972.804001250392</v>
      </c>
      <c r="F599" s="140">
        <v>0.95043418103671229</v>
      </c>
    </row>
    <row r="600" spans="1:6">
      <c r="A600" s="149" t="s">
        <v>2962</v>
      </c>
      <c r="B600" s="144" t="s">
        <v>656</v>
      </c>
      <c r="C600" s="44">
        <v>16773</v>
      </c>
      <c r="D600" s="153">
        <f t="shared" si="9"/>
        <v>1.0483125</v>
      </c>
      <c r="E600" s="43">
        <v>30972.804001250392</v>
      </c>
      <c r="F600" s="140">
        <v>0.95043418103671229</v>
      </c>
    </row>
    <row r="601" spans="1:6">
      <c r="A601" s="149" t="s">
        <v>2962</v>
      </c>
      <c r="B601" s="144" t="s">
        <v>657</v>
      </c>
      <c r="C601" s="44">
        <v>16773</v>
      </c>
      <c r="D601" s="153">
        <f t="shared" si="9"/>
        <v>1.0483125</v>
      </c>
      <c r="E601" s="43">
        <v>30972.804001250392</v>
      </c>
      <c r="F601" s="140">
        <v>0.95043418103671229</v>
      </c>
    </row>
    <row r="602" spans="1:6">
      <c r="A602" s="149" t="s">
        <v>2962</v>
      </c>
      <c r="B602" s="144" t="s">
        <v>658</v>
      </c>
      <c r="C602" s="44">
        <v>16773</v>
      </c>
      <c r="D602" s="153">
        <f t="shared" si="9"/>
        <v>1.0483125</v>
      </c>
      <c r="E602" s="43">
        <v>30972.804001250392</v>
      </c>
      <c r="F602" s="140">
        <v>0.95043418103671229</v>
      </c>
    </row>
    <row r="603" spans="1:6">
      <c r="A603" s="149" t="s">
        <v>2962</v>
      </c>
      <c r="B603" s="144" t="s">
        <v>659</v>
      </c>
      <c r="C603" s="44">
        <v>16773</v>
      </c>
      <c r="D603" s="153">
        <f t="shared" si="9"/>
        <v>1.0483125</v>
      </c>
      <c r="E603" s="43">
        <v>30972.804001250392</v>
      </c>
      <c r="F603" s="140">
        <v>0.95043418103671229</v>
      </c>
    </row>
    <row r="604" spans="1:6">
      <c r="A604" s="149" t="s">
        <v>2962</v>
      </c>
      <c r="B604" s="144" t="s">
        <v>660</v>
      </c>
      <c r="C604" s="44">
        <v>16773</v>
      </c>
      <c r="D604" s="153">
        <f t="shared" si="9"/>
        <v>1.0483125</v>
      </c>
      <c r="E604" s="43">
        <v>30972.804001250392</v>
      </c>
      <c r="F604" s="140">
        <v>0.95043418103671229</v>
      </c>
    </row>
    <row r="605" spans="1:6">
      <c r="A605" s="149" t="s">
        <v>2962</v>
      </c>
      <c r="B605" s="144" t="s">
        <v>661</v>
      </c>
      <c r="C605" s="44">
        <v>16773</v>
      </c>
      <c r="D605" s="153">
        <f t="shared" si="9"/>
        <v>1.0483125</v>
      </c>
      <c r="E605" s="43">
        <v>30972.804001250392</v>
      </c>
      <c r="F605" s="140">
        <v>0.95043418103671229</v>
      </c>
    </row>
    <row r="606" spans="1:6">
      <c r="A606" s="149" t="s">
        <v>2962</v>
      </c>
      <c r="B606" s="144" t="s">
        <v>662</v>
      </c>
      <c r="C606" s="44">
        <v>16773</v>
      </c>
      <c r="D606" s="153">
        <f t="shared" si="9"/>
        <v>1.0483125</v>
      </c>
      <c r="E606" s="43">
        <v>30972.804001250392</v>
      </c>
      <c r="F606" s="140">
        <v>0.95043418103671229</v>
      </c>
    </row>
    <row r="607" spans="1:6">
      <c r="A607" s="149" t="s">
        <v>2962</v>
      </c>
      <c r="B607" s="144" t="s">
        <v>663</v>
      </c>
      <c r="C607" s="44">
        <v>16773</v>
      </c>
      <c r="D607" s="153">
        <f t="shared" si="9"/>
        <v>1.0483125</v>
      </c>
      <c r="E607" s="43">
        <v>30972.804001250392</v>
      </c>
      <c r="F607" s="140">
        <v>0.95043418103671229</v>
      </c>
    </row>
    <row r="608" spans="1:6">
      <c r="A608" s="149" t="s">
        <v>2962</v>
      </c>
      <c r="B608" s="144" t="s">
        <v>664</v>
      </c>
      <c r="C608" s="44">
        <v>16773</v>
      </c>
      <c r="D608" s="153">
        <f t="shared" si="9"/>
        <v>1.0483125</v>
      </c>
      <c r="E608" s="43">
        <v>30972.804001250392</v>
      </c>
      <c r="F608" s="140">
        <v>0.95043418103671229</v>
      </c>
    </row>
    <row r="609" spans="1:6">
      <c r="A609" s="149" t="s">
        <v>2962</v>
      </c>
      <c r="B609" s="144" t="s">
        <v>665</v>
      </c>
      <c r="C609" s="44">
        <v>16773</v>
      </c>
      <c r="D609" s="153">
        <f t="shared" si="9"/>
        <v>1.0483125</v>
      </c>
      <c r="E609" s="43">
        <v>30972.804001250392</v>
      </c>
      <c r="F609" s="140">
        <v>0.95043418103671229</v>
      </c>
    </row>
    <row r="610" spans="1:6">
      <c r="A610" s="149" t="s">
        <v>2962</v>
      </c>
      <c r="B610" s="144" t="s">
        <v>666</v>
      </c>
      <c r="C610" s="44">
        <v>16773</v>
      </c>
      <c r="D610" s="153">
        <f t="shared" si="9"/>
        <v>1.0483125</v>
      </c>
      <c r="E610" s="43">
        <v>30972.804001250392</v>
      </c>
      <c r="F610" s="140">
        <v>0.95043418103671229</v>
      </c>
    </row>
    <row r="611" spans="1:6">
      <c r="A611" s="149" t="s">
        <v>2962</v>
      </c>
      <c r="B611" s="144" t="s">
        <v>667</v>
      </c>
      <c r="C611" s="44">
        <v>16773</v>
      </c>
      <c r="D611" s="153">
        <f t="shared" si="9"/>
        <v>1.0483125</v>
      </c>
      <c r="E611" s="43">
        <v>30972.804001250392</v>
      </c>
      <c r="F611" s="140">
        <v>0.95043418103671229</v>
      </c>
    </row>
    <row r="612" spans="1:6">
      <c r="A612" s="149" t="s">
        <v>2962</v>
      </c>
      <c r="B612" s="144" t="s">
        <v>668</v>
      </c>
      <c r="C612" s="44">
        <v>16773</v>
      </c>
      <c r="D612" s="153">
        <f t="shared" si="9"/>
        <v>1.0483125</v>
      </c>
      <c r="E612" s="43">
        <v>30972.804001250392</v>
      </c>
      <c r="F612" s="140">
        <v>0.95043418103671229</v>
      </c>
    </row>
    <row r="613" spans="1:6">
      <c r="A613" s="149" t="s">
        <v>2962</v>
      </c>
      <c r="B613" s="144" t="s">
        <v>669</v>
      </c>
      <c r="C613" s="44">
        <v>16773</v>
      </c>
      <c r="D613" s="153">
        <f t="shared" si="9"/>
        <v>1.0483125</v>
      </c>
      <c r="E613" s="43">
        <v>30972.804001250392</v>
      </c>
      <c r="F613" s="140">
        <v>0.95043418103671229</v>
      </c>
    </row>
    <row r="614" spans="1:6">
      <c r="A614" s="149" t="s">
        <v>2962</v>
      </c>
      <c r="B614" s="144" t="s">
        <v>670</v>
      </c>
      <c r="C614" s="44">
        <v>16773</v>
      </c>
      <c r="D614" s="153">
        <f t="shared" si="9"/>
        <v>1.0483125</v>
      </c>
      <c r="E614" s="43">
        <v>30972.804001250392</v>
      </c>
      <c r="F614" s="140">
        <v>0.95043418103671229</v>
      </c>
    </row>
    <row r="615" spans="1:6">
      <c r="A615" s="149" t="s">
        <v>2962</v>
      </c>
      <c r="B615" s="144" t="s">
        <v>671</v>
      </c>
      <c r="C615" s="44">
        <v>16773</v>
      </c>
      <c r="D615" s="153">
        <f t="shared" si="9"/>
        <v>1.0483125</v>
      </c>
      <c r="E615" s="43">
        <v>30972.804001250392</v>
      </c>
      <c r="F615" s="140">
        <v>0.95043418103671229</v>
      </c>
    </row>
    <row r="616" spans="1:6">
      <c r="A616" s="149" t="s">
        <v>2962</v>
      </c>
      <c r="B616" s="144" t="s">
        <v>672</v>
      </c>
      <c r="C616" s="44">
        <v>16773</v>
      </c>
      <c r="D616" s="153">
        <f t="shared" si="9"/>
        <v>1.0483125</v>
      </c>
      <c r="E616" s="43">
        <v>30972.804001250392</v>
      </c>
      <c r="F616" s="140">
        <v>0.95043418103671229</v>
      </c>
    </row>
    <row r="617" spans="1:6">
      <c r="A617" s="149" t="s">
        <v>2962</v>
      </c>
      <c r="B617" s="144" t="s">
        <v>673</v>
      </c>
      <c r="C617" s="44">
        <v>16773</v>
      </c>
      <c r="D617" s="153">
        <f t="shared" si="9"/>
        <v>1.0483125</v>
      </c>
      <c r="E617" s="43">
        <v>30972.804001250392</v>
      </c>
      <c r="F617" s="140">
        <v>0.95043418103671229</v>
      </c>
    </row>
    <row r="618" spans="1:6">
      <c r="A618" s="149" t="s">
        <v>2962</v>
      </c>
      <c r="B618" s="144" t="s">
        <v>674</v>
      </c>
      <c r="C618" s="44">
        <v>16773</v>
      </c>
      <c r="D618" s="153">
        <f t="shared" si="9"/>
        <v>1.0483125</v>
      </c>
      <c r="E618" s="43">
        <v>30972.804001250392</v>
      </c>
      <c r="F618" s="140">
        <v>0.95043418103671229</v>
      </c>
    </row>
    <row r="619" spans="1:6">
      <c r="A619" s="149" t="s">
        <v>2962</v>
      </c>
      <c r="B619" s="144" t="s">
        <v>675</v>
      </c>
      <c r="C619" s="44">
        <v>16773</v>
      </c>
      <c r="D619" s="153">
        <f t="shared" si="9"/>
        <v>1.0483125</v>
      </c>
      <c r="E619" s="43">
        <v>30972.804001250392</v>
      </c>
      <c r="F619" s="140">
        <v>0.95043418103671229</v>
      </c>
    </row>
    <row r="620" spans="1:6">
      <c r="A620" s="149" t="s">
        <v>2962</v>
      </c>
      <c r="B620" s="144" t="s">
        <v>676</v>
      </c>
      <c r="C620" s="44">
        <v>16773</v>
      </c>
      <c r="D620" s="153">
        <f t="shared" si="9"/>
        <v>1.0483125</v>
      </c>
      <c r="E620" s="43">
        <v>30972.804001250392</v>
      </c>
      <c r="F620" s="140">
        <v>0.95043418103671229</v>
      </c>
    </row>
    <row r="621" spans="1:6">
      <c r="A621" s="149" t="s">
        <v>2962</v>
      </c>
      <c r="B621" s="144" t="s">
        <v>677</v>
      </c>
      <c r="C621" s="44">
        <v>16773</v>
      </c>
      <c r="D621" s="153">
        <f t="shared" si="9"/>
        <v>1.0483125</v>
      </c>
      <c r="E621" s="43">
        <v>30972.804001250392</v>
      </c>
      <c r="F621" s="140">
        <v>0.95043418103671229</v>
      </c>
    </row>
    <row r="622" spans="1:6">
      <c r="A622" s="149" t="s">
        <v>2962</v>
      </c>
      <c r="B622" s="144" t="s">
        <v>678</v>
      </c>
      <c r="C622" s="44">
        <v>16773</v>
      </c>
      <c r="D622" s="153">
        <f t="shared" si="9"/>
        <v>1.0483125</v>
      </c>
      <c r="E622" s="43">
        <v>30972.804001250392</v>
      </c>
      <c r="F622" s="140">
        <v>0.95043418103671229</v>
      </c>
    </row>
    <row r="623" spans="1:6">
      <c r="A623" s="149" t="s">
        <v>2962</v>
      </c>
      <c r="B623" s="144" t="s">
        <v>679</v>
      </c>
      <c r="C623" s="44">
        <v>16773</v>
      </c>
      <c r="D623" s="153">
        <f t="shared" si="9"/>
        <v>1.0483125</v>
      </c>
      <c r="E623" s="43">
        <v>30972.804001250392</v>
      </c>
      <c r="F623" s="140">
        <v>0.95043418103671229</v>
      </c>
    </row>
    <row r="624" spans="1:6">
      <c r="A624" s="149" t="s">
        <v>2962</v>
      </c>
      <c r="B624" s="144" t="s">
        <v>680</v>
      </c>
      <c r="C624" s="44">
        <v>16773</v>
      </c>
      <c r="D624" s="153">
        <f t="shared" si="9"/>
        <v>1.0483125</v>
      </c>
      <c r="E624" s="43">
        <v>30972.804001250392</v>
      </c>
      <c r="F624" s="140">
        <v>0.95043418103671229</v>
      </c>
    </row>
    <row r="625" spans="1:6">
      <c r="A625" s="149" t="s">
        <v>2962</v>
      </c>
      <c r="B625" s="144" t="s">
        <v>681</v>
      </c>
      <c r="C625" s="44">
        <v>16773</v>
      </c>
      <c r="D625" s="153">
        <f t="shared" si="9"/>
        <v>1.0483125</v>
      </c>
      <c r="E625" s="43">
        <v>30972.804001250392</v>
      </c>
      <c r="F625" s="140">
        <v>0.95043418103671229</v>
      </c>
    </row>
    <row r="626" spans="1:6">
      <c r="A626" s="149" t="s">
        <v>2962</v>
      </c>
      <c r="B626" s="144" t="s">
        <v>682</v>
      </c>
      <c r="C626" s="44">
        <v>16773</v>
      </c>
      <c r="D626" s="153">
        <f t="shared" si="9"/>
        <v>1.0483125</v>
      </c>
      <c r="E626" s="43">
        <v>30972.804001250392</v>
      </c>
      <c r="F626" s="140">
        <v>0.95043418103671229</v>
      </c>
    </row>
    <row r="627" spans="1:6">
      <c r="A627" s="149" t="s">
        <v>2962</v>
      </c>
      <c r="B627" s="145" t="s">
        <v>683</v>
      </c>
      <c r="C627" s="142">
        <v>16773</v>
      </c>
      <c r="D627" s="153">
        <f t="shared" si="9"/>
        <v>1.0483125</v>
      </c>
      <c r="E627" s="143">
        <v>30972.804001250392</v>
      </c>
      <c r="F627" s="141">
        <v>0.95043418103671229</v>
      </c>
    </row>
    <row r="628" spans="1:6">
      <c r="A628" s="149" t="s">
        <v>2962</v>
      </c>
      <c r="B628" s="144" t="s">
        <v>684</v>
      </c>
      <c r="C628" s="44">
        <v>16773</v>
      </c>
      <c r="D628" s="153">
        <f t="shared" si="9"/>
        <v>1.0483125</v>
      </c>
      <c r="E628" s="43">
        <v>30972.804001250392</v>
      </c>
      <c r="F628" s="140">
        <v>0.95043418103671229</v>
      </c>
    </row>
    <row r="629" spans="1:6">
      <c r="A629" s="149" t="s">
        <v>2962</v>
      </c>
      <c r="B629" s="144" t="s">
        <v>685</v>
      </c>
      <c r="C629" s="44">
        <v>16773</v>
      </c>
      <c r="D629" s="153">
        <f t="shared" si="9"/>
        <v>1.0483125</v>
      </c>
      <c r="E629" s="43">
        <v>30972.804001250392</v>
      </c>
      <c r="F629" s="140">
        <v>0.95043418103671229</v>
      </c>
    </row>
    <row r="630" spans="1:6">
      <c r="A630" s="149" t="s">
        <v>2962</v>
      </c>
      <c r="B630" s="144" t="s">
        <v>686</v>
      </c>
      <c r="C630" s="44">
        <v>16773</v>
      </c>
      <c r="D630" s="153">
        <f t="shared" si="9"/>
        <v>1.0483125</v>
      </c>
      <c r="E630" s="43">
        <v>30972.804001250392</v>
      </c>
      <c r="F630" s="140">
        <v>0.95043418103671229</v>
      </c>
    </row>
    <row r="631" spans="1:6">
      <c r="A631" s="149" t="s">
        <v>2962</v>
      </c>
      <c r="B631" s="144" t="s">
        <v>687</v>
      </c>
      <c r="C631" s="44">
        <v>16773</v>
      </c>
      <c r="D631" s="153">
        <f t="shared" si="9"/>
        <v>1.0483125</v>
      </c>
      <c r="E631" s="43">
        <v>30972.804001250392</v>
      </c>
      <c r="F631" s="140">
        <v>0.95043418103671229</v>
      </c>
    </row>
    <row r="632" spans="1:6">
      <c r="A632" s="149" t="s">
        <v>2962</v>
      </c>
      <c r="B632" s="144" t="s">
        <v>688</v>
      </c>
      <c r="C632" s="44">
        <v>16773</v>
      </c>
      <c r="D632" s="153">
        <f t="shared" si="9"/>
        <v>1.0483125</v>
      </c>
      <c r="E632" s="43">
        <v>30972.804001250392</v>
      </c>
      <c r="F632" s="140">
        <v>0.95043418103671229</v>
      </c>
    </row>
    <row r="633" spans="1:6">
      <c r="A633" s="149" t="s">
        <v>2962</v>
      </c>
      <c r="B633" s="144" t="s">
        <v>689</v>
      </c>
      <c r="C633" s="44">
        <v>16773</v>
      </c>
      <c r="D633" s="153">
        <f t="shared" si="9"/>
        <v>1.0483125</v>
      </c>
      <c r="E633" s="43">
        <v>30972.804001250392</v>
      </c>
      <c r="F633" s="140">
        <v>0.95043418103671229</v>
      </c>
    </row>
    <row r="634" spans="1:6">
      <c r="A634" s="149" t="s">
        <v>2962</v>
      </c>
      <c r="B634" s="144" t="s">
        <v>690</v>
      </c>
      <c r="C634" s="44">
        <v>16773</v>
      </c>
      <c r="D634" s="153">
        <f t="shared" si="9"/>
        <v>1.0483125</v>
      </c>
      <c r="E634" s="43">
        <v>30972.804001250392</v>
      </c>
      <c r="F634" s="140">
        <v>0.95043418103671229</v>
      </c>
    </row>
    <row r="635" spans="1:6">
      <c r="A635" s="149" t="s">
        <v>2962</v>
      </c>
      <c r="B635" s="144" t="s">
        <v>691</v>
      </c>
      <c r="C635" s="44">
        <v>16773</v>
      </c>
      <c r="D635" s="153">
        <f t="shared" si="9"/>
        <v>1.0483125</v>
      </c>
      <c r="E635" s="43">
        <v>30972.804001250392</v>
      </c>
      <c r="F635" s="140">
        <v>0.95043418103671229</v>
      </c>
    </row>
    <row r="636" spans="1:6">
      <c r="A636" s="149" t="s">
        <v>2962</v>
      </c>
      <c r="B636" s="144" t="s">
        <v>692</v>
      </c>
      <c r="C636" s="44">
        <v>16773</v>
      </c>
      <c r="D636" s="153">
        <f t="shared" si="9"/>
        <v>1.0483125</v>
      </c>
      <c r="E636" s="43">
        <v>30972.804001250392</v>
      </c>
      <c r="F636" s="140">
        <v>0.95043418103671229</v>
      </c>
    </row>
    <row r="637" spans="1:6">
      <c r="A637" s="149" t="s">
        <v>2962</v>
      </c>
      <c r="B637" s="144" t="s">
        <v>693</v>
      </c>
      <c r="C637" s="44">
        <v>16773</v>
      </c>
      <c r="D637" s="153">
        <f t="shared" si="9"/>
        <v>1.0483125</v>
      </c>
      <c r="E637" s="43">
        <v>30972.804001250392</v>
      </c>
      <c r="F637" s="140">
        <v>0.95043418103671229</v>
      </c>
    </row>
    <row r="638" spans="1:6">
      <c r="A638" s="149" t="s">
        <v>2962</v>
      </c>
      <c r="B638" s="144" t="s">
        <v>694</v>
      </c>
      <c r="C638" s="44">
        <v>16773</v>
      </c>
      <c r="D638" s="153">
        <f t="shared" si="9"/>
        <v>1.0483125</v>
      </c>
      <c r="E638" s="43">
        <v>30972.804001250392</v>
      </c>
      <c r="F638" s="140">
        <v>0.95043418103671229</v>
      </c>
    </row>
    <row r="639" spans="1:6">
      <c r="A639" s="149" t="s">
        <v>2962</v>
      </c>
      <c r="B639" s="144" t="s">
        <v>695</v>
      </c>
      <c r="C639" s="44">
        <v>16773</v>
      </c>
      <c r="D639" s="153">
        <f t="shared" si="9"/>
        <v>1.0483125</v>
      </c>
      <c r="E639" s="43">
        <v>30972.804001250392</v>
      </c>
      <c r="F639" s="140">
        <v>0.95043418103671229</v>
      </c>
    </row>
    <row r="640" spans="1:6">
      <c r="A640" s="149" t="s">
        <v>2962</v>
      </c>
      <c r="B640" s="144" t="s">
        <v>696</v>
      </c>
      <c r="C640" s="44">
        <v>16773</v>
      </c>
      <c r="D640" s="153">
        <f t="shared" si="9"/>
        <v>1.0483125</v>
      </c>
      <c r="E640" s="43">
        <v>30972.804001250392</v>
      </c>
      <c r="F640" s="140">
        <v>0.95043418103671229</v>
      </c>
    </row>
    <row r="641" spans="1:6">
      <c r="A641" s="149" t="s">
        <v>2962</v>
      </c>
      <c r="B641" s="144" t="s">
        <v>697</v>
      </c>
      <c r="C641" s="44">
        <v>16773</v>
      </c>
      <c r="D641" s="153">
        <f t="shared" si="9"/>
        <v>1.0483125</v>
      </c>
      <c r="E641" s="43">
        <v>30972.804001250392</v>
      </c>
      <c r="F641" s="140">
        <v>0.95043418103671229</v>
      </c>
    </row>
    <row r="642" spans="1:6">
      <c r="A642" s="149" t="s">
        <v>2962</v>
      </c>
      <c r="B642" s="144" t="s">
        <v>698</v>
      </c>
      <c r="C642" s="44">
        <v>16773</v>
      </c>
      <c r="D642" s="153">
        <f t="shared" si="9"/>
        <v>1.0483125</v>
      </c>
      <c r="E642" s="43">
        <v>30972.804001250392</v>
      </c>
      <c r="F642" s="140">
        <v>0.95043418103671229</v>
      </c>
    </row>
    <row r="643" spans="1:6">
      <c r="A643" s="149" t="s">
        <v>2962</v>
      </c>
      <c r="B643" s="144" t="s">
        <v>699</v>
      </c>
      <c r="C643" s="44">
        <v>16773</v>
      </c>
      <c r="D643" s="153">
        <f t="shared" si="9"/>
        <v>1.0483125</v>
      </c>
      <c r="E643" s="43">
        <v>30972.804001250392</v>
      </c>
      <c r="F643" s="140">
        <v>0.95043418103671229</v>
      </c>
    </row>
    <row r="644" spans="1:6">
      <c r="A644" s="149" t="s">
        <v>2962</v>
      </c>
      <c r="B644" s="144" t="s">
        <v>700</v>
      </c>
      <c r="C644" s="44">
        <v>16773</v>
      </c>
      <c r="D644" s="153">
        <f t="shared" si="9"/>
        <v>1.0483125</v>
      </c>
      <c r="E644" s="43">
        <v>30972.804001250392</v>
      </c>
      <c r="F644" s="140">
        <v>0.95043418103671229</v>
      </c>
    </row>
    <row r="645" spans="1:6">
      <c r="A645" s="149" t="s">
        <v>2962</v>
      </c>
      <c r="B645" s="144" t="s">
        <v>701</v>
      </c>
      <c r="C645" s="44">
        <v>16773</v>
      </c>
      <c r="D645" s="153">
        <f t="shared" si="9"/>
        <v>1.0483125</v>
      </c>
      <c r="E645" s="43">
        <v>30972.804001250392</v>
      </c>
      <c r="F645" s="140">
        <v>0.95043418103671229</v>
      </c>
    </row>
    <row r="646" spans="1:6">
      <c r="A646" s="149" t="s">
        <v>2962</v>
      </c>
      <c r="B646" s="144" t="s">
        <v>702</v>
      </c>
      <c r="C646" s="44">
        <v>16773</v>
      </c>
      <c r="D646" s="153">
        <f t="shared" si="9"/>
        <v>1.0483125</v>
      </c>
      <c r="E646" s="43">
        <v>30972.804001250392</v>
      </c>
      <c r="F646" s="140">
        <v>0.95043418103671229</v>
      </c>
    </row>
    <row r="647" spans="1:6">
      <c r="A647" s="149" t="s">
        <v>2962</v>
      </c>
      <c r="B647" s="144" t="s">
        <v>703</v>
      </c>
      <c r="C647" s="44">
        <v>16773</v>
      </c>
      <c r="D647" s="153">
        <f t="shared" ref="D647:D710" si="10">C647/32768*4.096/2</f>
        <v>1.0483125</v>
      </c>
      <c r="E647" s="43">
        <v>30972.804001250392</v>
      </c>
      <c r="F647" s="140">
        <v>0.95043418103671229</v>
      </c>
    </row>
    <row r="648" spans="1:6">
      <c r="A648" s="149" t="s">
        <v>2962</v>
      </c>
      <c r="B648" s="144" t="s">
        <v>704</v>
      </c>
      <c r="C648" s="44">
        <v>16773</v>
      </c>
      <c r="D648" s="153">
        <f t="shared" si="10"/>
        <v>1.0483125</v>
      </c>
      <c r="E648" s="43">
        <v>30972.804001250392</v>
      </c>
      <c r="F648" s="140">
        <v>0.95043418103671229</v>
      </c>
    </row>
    <row r="649" spans="1:6">
      <c r="A649" s="149" t="s">
        <v>2962</v>
      </c>
      <c r="B649" s="144" t="s">
        <v>705</v>
      </c>
      <c r="C649" s="44">
        <v>16773</v>
      </c>
      <c r="D649" s="153">
        <f t="shared" si="10"/>
        <v>1.0483125</v>
      </c>
      <c r="E649" s="43">
        <v>30972.804001250392</v>
      </c>
      <c r="F649" s="140">
        <v>0.95043418103671229</v>
      </c>
    </row>
    <row r="650" spans="1:6">
      <c r="A650" s="149" t="s">
        <v>2962</v>
      </c>
      <c r="B650" s="144" t="s">
        <v>706</v>
      </c>
      <c r="C650" s="44">
        <v>16773</v>
      </c>
      <c r="D650" s="153">
        <f t="shared" si="10"/>
        <v>1.0483125</v>
      </c>
      <c r="E650" s="43">
        <v>30972.804001250392</v>
      </c>
      <c r="F650" s="140">
        <v>0.95043418103671229</v>
      </c>
    </row>
    <row r="651" spans="1:6">
      <c r="A651" s="149" t="s">
        <v>2962</v>
      </c>
      <c r="B651" s="144" t="s">
        <v>707</v>
      </c>
      <c r="C651" s="44">
        <v>16773</v>
      </c>
      <c r="D651" s="153">
        <f t="shared" si="10"/>
        <v>1.0483125</v>
      </c>
      <c r="E651" s="43">
        <v>30972.804001250392</v>
      </c>
      <c r="F651" s="140">
        <v>0.95043418103671229</v>
      </c>
    </row>
    <row r="652" spans="1:6">
      <c r="A652" s="149" t="s">
        <v>2962</v>
      </c>
      <c r="B652" s="144" t="s">
        <v>708</v>
      </c>
      <c r="C652" s="44">
        <v>16773</v>
      </c>
      <c r="D652" s="153">
        <f t="shared" si="10"/>
        <v>1.0483125</v>
      </c>
      <c r="E652" s="43">
        <v>30972.804001250392</v>
      </c>
      <c r="F652" s="140">
        <v>0.95043418103671229</v>
      </c>
    </row>
    <row r="653" spans="1:6">
      <c r="A653" s="149" t="s">
        <v>2962</v>
      </c>
      <c r="B653" s="144" t="s">
        <v>709</v>
      </c>
      <c r="C653" s="44">
        <v>16773</v>
      </c>
      <c r="D653" s="153">
        <f t="shared" si="10"/>
        <v>1.0483125</v>
      </c>
      <c r="E653" s="43">
        <v>30972.804001250392</v>
      </c>
      <c r="F653" s="140">
        <v>0.95043418103671229</v>
      </c>
    </row>
    <row r="654" spans="1:6">
      <c r="A654" s="149" t="s">
        <v>2962</v>
      </c>
      <c r="B654" s="144" t="s">
        <v>710</v>
      </c>
      <c r="C654" s="44">
        <v>16773</v>
      </c>
      <c r="D654" s="153">
        <f t="shared" si="10"/>
        <v>1.0483125</v>
      </c>
      <c r="E654" s="43">
        <v>30972.804001250392</v>
      </c>
      <c r="F654" s="140">
        <v>0.95043418103671229</v>
      </c>
    </row>
    <row r="655" spans="1:6">
      <c r="A655" s="149" t="s">
        <v>2962</v>
      </c>
      <c r="B655" s="144" t="s">
        <v>711</v>
      </c>
      <c r="C655" s="44">
        <v>16773</v>
      </c>
      <c r="D655" s="153">
        <f t="shared" si="10"/>
        <v>1.0483125</v>
      </c>
      <c r="E655" s="43">
        <v>30972.804001250392</v>
      </c>
      <c r="F655" s="140">
        <v>0.95043418103671229</v>
      </c>
    </row>
    <row r="656" spans="1:6">
      <c r="A656" s="149" t="s">
        <v>2962</v>
      </c>
      <c r="B656" s="144" t="s">
        <v>712</v>
      </c>
      <c r="C656" s="44">
        <v>16773</v>
      </c>
      <c r="D656" s="153">
        <f t="shared" si="10"/>
        <v>1.0483125</v>
      </c>
      <c r="E656" s="43">
        <v>30972.804001250392</v>
      </c>
      <c r="F656" s="140">
        <v>0.95043418103671229</v>
      </c>
    </row>
    <row r="657" spans="1:6">
      <c r="A657" s="149" t="s">
        <v>2962</v>
      </c>
      <c r="B657" s="144" t="s">
        <v>713</v>
      </c>
      <c r="C657" s="44">
        <v>16773</v>
      </c>
      <c r="D657" s="153">
        <f t="shared" si="10"/>
        <v>1.0483125</v>
      </c>
      <c r="E657" s="43">
        <v>30972.804001250392</v>
      </c>
      <c r="F657" s="140">
        <v>0.95043418103671229</v>
      </c>
    </row>
    <row r="658" spans="1:6">
      <c r="A658" s="149" t="s">
        <v>2962</v>
      </c>
      <c r="B658" s="144" t="s">
        <v>714</v>
      </c>
      <c r="C658" s="44">
        <v>16773</v>
      </c>
      <c r="D658" s="153">
        <f t="shared" si="10"/>
        <v>1.0483125</v>
      </c>
      <c r="E658" s="43">
        <v>30972.804001250392</v>
      </c>
      <c r="F658" s="140">
        <v>0.95043418103671229</v>
      </c>
    </row>
    <row r="659" spans="1:6">
      <c r="A659" s="149" t="s">
        <v>2962</v>
      </c>
      <c r="B659" s="144" t="s">
        <v>715</v>
      </c>
      <c r="C659" s="44">
        <v>16773</v>
      </c>
      <c r="D659" s="153">
        <f t="shared" si="10"/>
        <v>1.0483125</v>
      </c>
      <c r="E659" s="43">
        <v>30972.804001250392</v>
      </c>
      <c r="F659" s="140">
        <v>0.95043418103671229</v>
      </c>
    </row>
    <row r="660" spans="1:6">
      <c r="A660" s="149" t="s">
        <v>2962</v>
      </c>
      <c r="B660" s="144" t="s">
        <v>716</v>
      </c>
      <c r="C660" s="44">
        <v>16773</v>
      </c>
      <c r="D660" s="153">
        <f t="shared" si="10"/>
        <v>1.0483125</v>
      </c>
      <c r="E660" s="43">
        <v>30972.804001250392</v>
      </c>
      <c r="F660" s="140">
        <v>0.95043418103671229</v>
      </c>
    </row>
    <row r="661" spans="1:6">
      <c r="A661" s="149" t="s">
        <v>2962</v>
      </c>
      <c r="B661" s="144" t="s">
        <v>717</v>
      </c>
      <c r="C661" s="44">
        <v>16773</v>
      </c>
      <c r="D661" s="153">
        <f t="shared" si="10"/>
        <v>1.0483125</v>
      </c>
      <c r="E661" s="43">
        <v>30972.804001250392</v>
      </c>
      <c r="F661" s="140">
        <v>0.95043418103671229</v>
      </c>
    </row>
    <row r="662" spans="1:6">
      <c r="A662" s="149" t="s">
        <v>2962</v>
      </c>
      <c r="B662" s="144" t="s">
        <v>718</v>
      </c>
      <c r="C662" s="44">
        <v>16773</v>
      </c>
      <c r="D662" s="153">
        <f t="shared" si="10"/>
        <v>1.0483125</v>
      </c>
      <c r="E662" s="43">
        <v>30972.804001250392</v>
      </c>
      <c r="F662" s="140">
        <v>0.95043418103671229</v>
      </c>
    </row>
    <row r="663" spans="1:6">
      <c r="A663" s="149" t="s">
        <v>2962</v>
      </c>
      <c r="B663" s="144" t="s">
        <v>719</v>
      </c>
      <c r="C663" s="44">
        <v>16773</v>
      </c>
      <c r="D663" s="153">
        <f t="shared" si="10"/>
        <v>1.0483125</v>
      </c>
      <c r="E663" s="43">
        <v>30972.804001250392</v>
      </c>
      <c r="F663" s="140">
        <v>0.95043418103671229</v>
      </c>
    </row>
    <row r="664" spans="1:6">
      <c r="A664" s="149" t="s">
        <v>2962</v>
      </c>
      <c r="B664" s="144" t="s">
        <v>720</v>
      </c>
      <c r="C664" s="44">
        <v>16773</v>
      </c>
      <c r="D664" s="153">
        <f t="shared" si="10"/>
        <v>1.0483125</v>
      </c>
      <c r="E664" s="43">
        <v>30972.804001250392</v>
      </c>
      <c r="F664" s="140">
        <v>0.95043418103671229</v>
      </c>
    </row>
    <row r="665" spans="1:6">
      <c r="A665" s="149" t="s">
        <v>2962</v>
      </c>
      <c r="B665" s="144" t="s">
        <v>721</v>
      </c>
      <c r="C665" s="44">
        <v>16773</v>
      </c>
      <c r="D665" s="153">
        <f t="shared" si="10"/>
        <v>1.0483125</v>
      </c>
      <c r="E665" s="43">
        <v>30972.804001250392</v>
      </c>
      <c r="F665" s="140">
        <v>0.95043418103671229</v>
      </c>
    </row>
    <row r="666" spans="1:6">
      <c r="A666" s="149" t="s">
        <v>2962</v>
      </c>
      <c r="B666" s="144" t="s">
        <v>722</v>
      </c>
      <c r="C666" s="44">
        <v>16773</v>
      </c>
      <c r="D666" s="153">
        <f t="shared" si="10"/>
        <v>1.0483125</v>
      </c>
      <c r="E666" s="43">
        <v>30972.804001250392</v>
      </c>
      <c r="F666" s="140">
        <v>0.95043418103671229</v>
      </c>
    </row>
    <row r="667" spans="1:6">
      <c r="A667" s="149" t="s">
        <v>2962</v>
      </c>
      <c r="B667" s="144" t="s">
        <v>723</v>
      </c>
      <c r="C667" s="44">
        <v>16773</v>
      </c>
      <c r="D667" s="153">
        <f t="shared" si="10"/>
        <v>1.0483125</v>
      </c>
      <c r="E667" s="43">
        <v>30972.804001250392</v>
      </c>
      <c r="F667" s="140">
        <v>0.95043418103671229</v>
      </c>
    </row>
    <row r="668" spans="1:6">
      <c r="A668" s="149" t="s">
        <v>2962</v>
      </c>
      <c r="B668" s="144" t="s">
        <v>724</v>
      </c>
      <c r="C668" s="44">
        <v>16773</v>
      </c>
      <c r="D668" s="153">
        <f t="shared" si="10"/>
        <v>1.0483125</v>
      </c>
      <c r="E668" s="43">
        <v>30972.804001250392</v>
      </c>
      <c r="F668" s="140">
        <v>0.95043418103671229</v>
      </c>
    </row>
    <row r="669" spans="1:6">
      <c r="A669" s="149" t="s">
        <v>2962</v>
      </c>
      <c r="B669" s="144" t="s">
        <v>725</v>
      </c>
      <c r="C669" s="44">
        <v>16773</v>
      </c>
      <c r="D669" s="153">
        <f t="shared" si="10"/>
        <v>1.0483125</v>
      </c>
      <c r="E669" s="43">
        <v>30972.804001250392</v>
      </c>
      <c r="F669" s="140">
        <v>0.95043418103671229</v>
      </c>
    </row>
    <row r="670" spans="1:6">
      <c r="A670" s="149" t="s">
        <v>2962</v>
      </c>
      <c r="B670" s="144" t="s">
        <v>726</v>
      </c>
      <c r="C670" s="44">
        <v>16773</v>
      </c>
      <c r="D670" s="153">
        <f t="shared" si="10"/>
        <v>1.0483125</v>
      </c>
      <c r="E670" s="43">
        <v>30972.804001250392</v>
      </c>
      <c r="F670" s="140">
        <v>0.95043418103671229</v>
      </c>
    </row>
    <row r="671" spans="1:6">
      <c r="A671" s="149" t="s">
        <v>2962</v>
      </c>
      <c r="B671" s="144" t="s">
        <v>727</v>
      </c>
      <c r="C671" s="44">
        <v>16773</v>
      </c>
      <c r="D671" s="153">
        <f t="shared" si="10"/>
        <v>1.0483125</v>
      </c>
      <c r="E671" s="43">
        <v>30972.804001250392</v>
      </c>
      <c r="F671" s="140">
        <v>0.95043418103671229</v>
      </c>
    </row>
    <row r="672" spans="1:6">
      <c r="A672" s="149" t="s">
        <v>2962</v>
      </c>
      <c r="B672" s="144" t="s">
        <v>728</v>
      </c>
      <c r="C672" s="44">
        <v>16773</v>
      </c>
      <c r="D672" s="153">
        <f t="shared" si="10"/>
        <v>1.0483125</v>
      </c>
      <c r="E672" s="43">
        <v>30972.804001250392</v>
      </c>
      <c r="F672" s="140">
        <v>0.95043418103671229</v>
      </c>
    </row>
    <row r="673" spans="1:6">
      <c r="A673" s="149" t="s">
        <v>2962</v>
      </c>
      <c r="B673" s="144" t="s">
        <v>729</v>
      </c>
      <c r="C673" s="44">
        <v>16773</v>
      </c>
      <c r="D673" s="153">
        <f t="shared" si="10"/>
        <v>1.0483125</v>
      </c>
      <c r="E673" s="43">
        <v>30972.804001250392</v>
      </c>
      <c r="F673" s="140">
        <v>0.95043418103671229</v>
      </c>
    </row>
    <row r="674" spans="1:6">
      <c r="A674" s="149" t="s">
        <v>2962</v>
      </c>
      <c r="B674" s="144" t="s">
        <v>730</v>
      </c>
      <c r="C674" s="44">
        <v>16773</v>
      </c>
      <c r="D674" s="153">
        <f t="shared" si="10"/>
        <v>1.0483125</v>
      </c>
      <c r="E674" s="43">
        <v>30972.804001250392</v>
      </c>
      <c r="F674" s="140">
        <v>0.95043418103671229</v>
      </c>
    </row>
    <row r="675" spans="1:6">
      <c r="A675" s="149" t="s">
        <v>2962</v>
      </c>
      <c r="B675" s="144" t="s">
        <v>731</v>
      </c>
      <c r="C675" s="44">
        <v>16773</v>
      </c>
      <c r="D675" s="153">
        <f t="shared" si="10"/>
        <v>1.0483125</v>
      </c>
      <c r="E675" s="43">
        <v>30972.804001250392</v>
      </c>
      <c r="F675" s="140">
        <v>0.95043418103671229</v>
      </c>
    </row>
    <row r="676" spans="1:6">
      <c r="A676" s="149" t="s">
        <v>2962</v>
      </c>
      <c r="B676" s="144" t="s">
        <v>732</v>
      </c>
      <c r="C676" s="44">
        <v>16773</v>
      </c>
      <c r="D676" s="153">
        <f t="shared" si="10"/>
        <v>1.0483125</v>
      </c>
      <c r="E676" s="43">
        <v>30972.804001250392</v>
      </c>
      <c r="F676" s="140">
        <v>0.95043418103671229</v>
      </c>
    </row>
    <row r="677" spans="1:6">
      <c r="A677" s="149" t="s">
        <v>2962</v>
      </c>
      <c r="B677" s="144" t="s">
        <v>733</v>
      </c>
      <c r="C677" s="44">
        <v>16773</v>
      </c>
      <c r="D677" s="153">
        <f t="shared" si="10"/>
        <v>1.0483125</v>
      </c>
      <c r="E677" s="43">
        <v>30972.804001250392</v>
      </c>
      <c r="F677" s="140">
        <v>0.95043418103671229</v>
      </c>
    </row>
    <row r="678" spans="1:6">
      <c r="A678" s="149" t="s">
        <v>2962</v>
      </c>
      <c r="B678" s="144" t="s">
        <v>734</v>
      </c>
      <c r="C678" s="44">
        <v>16773</v>
      </c>
      <c r="D678" s="153">
        <f t="shared" si="10"/>
        <v>1.0483125</v>
      </c>
      <c r="E678" s="43">
        <v>30972.804001250392</v>
      </c>
      <c r="F678" s="140">
        <v>0.95043418103671229</v>
      </c>
    </row>
    <row r="679" spans="1:6">
      <c r="A679" s="149" t="s">
        <v>2962</v>
      </c>
      <c r="B679" s="144" t="s">
        <v>735</v>
      </c>
      <c r="C679" s="44">
        <v>16773</v>
      </c>
      <c r="D679" s="153">
        <f t="shared" si="10"/>
        <v>1.0483125</v>
      </c>
      <c r="E679" s="43">
        <v>30972.804001250392</v>
      </c>
      <c r="F679" s="140">
        <v>0.95043418103671229</v>
      </c>
    </row>
    <row r="680" spans="1:6">
      <c r="A680" s="149" t="s">
        <v>2962</v>
      </c>
      <c r="B680" s="144" t="s">
        <v>736</v>
      </c>
      <c r="C680" s="44">
        <v>16773</v>
      </c>
      <c r="D680" s="153">
        <f t="shared" si="10"/>
        <v>1.0483125</v>
      </c>
      <c r="E680" s="43">
        <v>30972.804001250392</v>
      </c>
      <c r="F680" s="140">
        <v>0.95043418103671229</v>
      </c>
    </row>
    <row r="681" spans="1:6">
      <c r="A681" s="149" t="s">
        <v>2962</v>
      </c>
      <c r="B681" s="144" t="s">
        <v>737</v>
      </c>
      <c r="C681" s="44">
        <v>16773</v>
      </c>
      <c r="D681" s="153">
        <f t="shared" si="10"/>
        <v>1.0483125</v>
      </c>
      <c r="E681" s="43">
        <v>30972.804001250392</v>
      </c>
      <c r="F681" s="140">
        <v>0.95043418103671229</v>
      </c>
    </row>
    <row r="682" spans="1:6">
      <c r="A682" s="149" t="s">
        <v>2962</v>
      </c>
      <c r="B682" s="144" t="s">
        <v>738</v>
      </c>
      <c r="C682" s="44">
        <v>16773</v>
      </c>
      <c r="D682" s="153">
        <f t="shared" si="10"/>
        <v>1.0483125</v>
      </c>
      <c r="E682" s="43">
        <v>30972.804001250392</v>
      </c>
      <c r="F682" s="140">
        <v>0.95043418103671229</v>
      </c>
    </row>
    <row r="683" spans="1:6">
      <c r="A683" s="149" t="s">
        <v>2962</v>
      </c>
      <c r="B683" s="144" t="s">
        <v>739</v>
      </c>
      <c r="C683" s="44">
        <v>16773</v>
      </c>
      <c r="D683" s="153">
        <f t="shared" si="10"/>
        <v>1.0483125</v>
      </c>
      <c r="E683" s="43">
        <v>30972.804001250392</v>
      </c>
      <c r="F683" s="140">
        <v>0.95043418103671229</v>
      </c>
    </row>
    <row r="684" spans="1:6">
      <c r="A684" s="149" t="s">
        <v>2962</v>
      </c>
      <c r="B684" s="144" t="s">
        <v>740</v>
      </c>
      <c r="C684" s="44">
        <v>16773</v>
      </c>
      <c r="D684" s="153">
        <f t="shared" si="10"/>
        <v>1.0483125</v>
      </c>
      <c r="E684" s="43">
        <v>30972.804001250392</v>
      </c>
      <c r="F684" s="140">
        <v>0.95043418103671229</v>
      </c>
    </row>
    <row r="685" spans="1:6">
      <c r="A685" s="149" t="s">
        <v>2962</v>
      </c>
      <c r="B685" s="144" t="s">
        <v>741</v>
      </c>
      <c r="C685" s="44">
        <v>16773</v>
      </c>
      <c r="D685" s="153">
        <f t="shared" si="10"/>
        <v>1.0483125</v>
      </c>
      <c r="E685" s="43">
        <v>30972.804001250392</v>
      </c>
      <c r="F685" s="140">
        <v>0.95043418103671229</v>
      </c>
    </row>
    <row r="686" spans="1:6">
      <c r="A686" s="149" t="s">
        <v>2962</v>
      </c>
      <c r="B686" s="144" t="s">
        <v>742</v>
      </c>
      <c r="C686" s="44">
        <v>16773</v>
      </c>
      <c r="D686" s="153">
        <f t="shared" si="10"/>
        <v>1.0483125</v>
      </c>
      <c r="E686" s="43">
        <v>30972.804001250392</v>
      </c>
      <c r="F686" s="140">
        <v>0.95043418103671229</v>
      </c>
    </row>
    <row r="687" spans="1:6">
      <c r="A687" s="149" t="s">
        <v>2962</v>
      </c>
      <c r="B687" s="144" t="s">
        <v>743</v>
      </c>
      <c r="C687" s="44">
        <v>16773</v>
      </c>
      <c r="D687" s="153">
        <f t="shared" si="10"/>
        <v>1.0483125</v>
      </c>
      <c r="E687" s="43">
        <v>30972.804001250392</v>
      </c>
      <c r="F687" s="140">
        <v>0.95043418103671229</v>
      </c>
    </row>
    <row r="688" spans="1:6">
      <c r="A688" s="149" t="s">
        <v>2962</v>
      </c>
      <c r="B688" s="144" t="s">
        <v>744</v>
      </c>
      <c r="C688" s="44">
        <v>16773</v>
      </c>
      <c r="D688" s="153">
        <f t="shared" si="10"/>
        <v>1.0483125</v>
      </c>
      <c r="E688" s="43">
        <v>30972.804001250392</v>
      </c>
      <c r="F688" s="140">
        <v>0.95043418103671229</v>
      </c>
    </row>
    <row r="689" spans="1:6">
      <c r="A689" s="149" t="s">
        <v>2962</v>
      </c>
      <c r="B689" s="144" t="s">
        <v>745</v>
      </c>
      <c r="C689" s="44">
        <v>16773</v>
      </c>
      <c r="D689" s="153">
        <f t="shared" si="10"/>
        <v>1.0483125</v>
      </c>
      <c r="E689" s="43">
        <v>30972.804001250392</v>
      </c>
      <c r="F689" s="140">
        <v>0.95043418103671229</v>
      </c>
    </row>
    <row r="690" spans="1:6">
      <c r="A690" s="149" t="s">
        <v>2962</v>
      </c>
      <c r="B690" s="144" t="s">
        <v>746</v>
      </c>
      <c r="C690" s="44">
        <v>16773</v>
      </c>
      <c r="D690" s="153">
        <f t="shared" si="10"/>
        <v>1.0483125</v>
      </c>
      <c r="E690" s="43">
        <v>30972.804001250392</v>
      </c>
      <c r="F690" s="140">
        <v>0.95043418103671229</v>
      </c>
    </row>
    <row r="691" spans="1:6">
      <c r="A691" s="149" t="s">
        <v>2962</v>
      </c>
      <c r="B691" s="144" t="s">
        <v>747</v>
      </c>
      <c r="C691" s="44">
        <v>16773</v>
      </c>
      <c r="D691" s="153">
        <f t="shared" si="10"/>
        <v>1.0483125</v>
      </c>
      <c r="E691" s="43">
        <v>30972.804001250392</v>
      </c>
      <c r="F691" s="140">
        <v>0.95043418103671229</v>
      </c>
    </row>
    <row r="692" spans="1:6">
      <c r="A692" s="149" t="s">
        <v>2962</v>
      </c>
      <c r="B692" s="144" t="s">
        <v>748</v>
      </c>
      <c r="C692" s="44">
        <v>16773</v>
      </c>
      <c r="D692" s="153">
        <f t="shared" si="10"/>
        <v>1.0483125</v>
      </c>
      <c r="E692" s="43">
        <v>30972.804001250392</v>
      </c>
      <c r="F692" s="140">
        <v>0.95043418103671229</v>
      </c>
    </row>
    <row r="693" spans="1:6">
      <c r="A693" s="149" t="s">
        <v>2962</v>
      </c>
      <c r="B693" s="144" t="s">
        <v>749</v>
      </c>
      <c r="C693" s="44">
        <v>16773</v>
      </c>
      <c r="D693" s="153">
        <f t="shared" si="10"/>
        <v>1.0483125</v>
      </c>
      <c r="E693" s="43">
        <v>30972.804001250392</v>
      </c>
      <c r="F693" s="140">
        <v>0.95043418103671229</v>
      </c>
    </row>
    <row r="694" spans="1:6">
      <c r="A694" s="149" t="s">
        <v>2962</v>
      </c>
      <c r="B694" s="144" t="s">
        <v>750</v>
      </c>
      <c r="C694" s="44">
        <v>16773</v>
      </c>
      <c r="D694" s="153">
        <f t="shared" si="10"/>
        <v>1.0483125</v>
      </c>
      <c r="E694" s="43">
        <v>30972.804001250392</v>
      </c>
      <c r="F694" s="140">
        <v>0.95043418103671229</v>
      </c>
    </row>
    <row r="695" spans="1:6">
      <c r="A695" s="149" t="s">
        <v>2962</v>
      </c>
      <c r="B695" s="144" t="s">
        <v>751</v>
      </c>
      <c r="C695" s="44">
        <v>16773</v>
      </c>
      <c r="D695" s="153">
        <f t="shared" si="10"/>
        <v>1.0483125</v>
      </c>
      <c r="E695" s="43">
        <v>30972.804001250392</v>
      </c>
      <c r="F695" s="140">
        <v>0.95043418103671229</v>
      </c>
    </row>
    <row r="696" spans="1:6">
      <c r="A696" s="149" t="s">
        <v>2962</v>
      </c>
      <c r="B696" s="144" t="s">
        <v>752</v>
      </c>
      <c r="C696" s="44">
        <v>16773</v>
      </c>
      <c r="D696" s="153">
        <f t="shared" si="10"/>
        <v>1.0483125</v>
      </c>
      <c r="E696" s="43">
        <v>30972.804001250392</v>
      </c>
      <c r="F696" s="140">
        <v>0.95043418103671229</v>
      </c>
    </row>
    <row r="697" spans="1:6">
      <c r="A697" s="149" t="s">
        <v>2962</v>
      </c>
      <c r="B697" s="144" t="s">
        <v>753</v>
      </c>
      <c r="C697" s="44">
        <v>16773</v>
      </c>
      <c r="D697" s="153">
        <f t="shared" si="10"/>
        <v>1.0483125</v>
      </c>
      <c r="E697" s="43">
        <v>30972.804001250392</v>
      </c>
      <c r="F697" s="140">
        <v>0.95043418103671229</v>
      </c>
    </row>
    <row r="698" spans="1:6">
      <c r="A698" s="149" t="s">
        <v>2962</v>
      </c>
      <c r="B698" s="144" t="s">
        <v>754</v>
      </c>
      <c r="C698" s="44">
        <v>16773</v>
      </c>
      <c r="D698" s="153">
        <f t="shared" si="10"/>
        <v>1.0483125</v>
      </c>
      <c r="E698" s="43">
        <v>30972.804001250392</v>
      </c>
      <c r="F698" s="140">
        <v>0.95043418103671229</v>
      </c>
    </row>
    <row r="699" spans="1:6">
      <c r="A699" s="149" t="s">
        <v>2962</v>
      </c>
      <c r="B699" s="144" t="s">
        <v>755</v>
      </c>
      <c r="C699" s="44">
        <v>16773</v>
      </c>
      <c r="D699" s="153">
        <f t="shared" si="10"/>
        <v>1.0483125</v>
      </c>
      <c r="E699" s="43">
        <v>30972.804001250392</v>
      </c>
      <c r="F699" s="140">
        <v>0.95043418103671229</v>
      </c>
    </row>
    <row r="700" spans="1:6">
      <c r="A700" s="149" t="s">
        <v>2962</v>
      </c>
      <c r="B700" s="144" t="s">
        <v>756</v>
      </c>
      <c r="C700" s="44">
        <v>16773</v>
      </c>
      <c r="D700" s="153">
        <f t="shared" si="10"/>
        <v>1.0483125</v>
      </c>
      <c r="E700" s="43">
        <v>30972.804001250392</v>
      </c>
      <c r="F700" s="140">
        <v>0.95043418103671229</v>
      </c>
    </row>
    <row r="701" spans="1:6">
      <c r="A701" s="149" t="s">
        <v>2962</v>
      </c>
      <c r="B701" s="144" t="s">
        <v>757</v>
      </c>
      <c r="C701" s="44">
        <v>16773</v>
      </c>
      <c r="D701" s="153">
        <f t="shared" si="10"/>
        <v>1.0483125</v>
      </c>
      <c r="E701" s="43">
        <v>30972.804001250392</v>
      </c>
      <c r="F701" s="140">
        <v>0.95043418103671229</v>
      </c>
    </row>
    <row r="702" spans="1:6">
      <c r="A702" s="149" t="s">
        <v>2962</v>
      </c>
      <c r="B702" s="144" t="s">
        <v>758</v>
      </c>
      <c r="C702" s="44">
        <v>16773</v>
      </c>
      <c r="D702" s="153">
        <f t="shared" si="10"/>
        <v>1.0483125</v>
      </c>
      <c r="E702" s="43">
        <v>30972.804001250392</v>
      </c>
      <c r="F702" s="140">
        <v>0.95043418103671229</v>
      </c>
    </row>
    <row r="703" spans="1:6">
      <c r="A703" s="149" t="s">
        <v>2962</v>
      </c>
      <c r="B703" s="144" t="s">
        <v>759</v>
      </c>
      <c r="C703" s="44">
        <v>16773</v>
      </c>
      <c r="D703" s="153">
        <f t="shared" si="10"/>
        <v>1.0483125</v>
      </c>
      <c r="E703" s="43">
        <v>30972.804001250392</v>
      </c>
      <c r="F703" s="140">
        <v>0.95043418103671229</v>
      </c>
    </row>
    <row r="704" spans="1:6">
      <c r="A704" s="149" t="s">
        <v>2962</v>
      </c>
      <c r="B704" s="144" t="s">
        <v>760</v>
      </c>
      <c r="C704" s="44">
        <v>16773</v>
      </c>
      <c r="D704" s="153">
        <f t="shared" si="10"/>
        <v>1.0483125</v>
      </c>
      <c r="E704" s="43">
        <v>30972.804001250392</v>
      </c>
      <c r="F704" s="140">
        <v>0.95043418103671229</v>
      </c>
    </row>
    <row r="705" spans="1:6">
      <c r="A705" s="149" t="s">
        <v>2962</v>
      </c>
      <c r="B705" s="144" t="s">
        <v>761</v>
      </c>
      <c r="C705" s="44">
        <v>16773</v>
      </c>
      <c r="D705" s="153">
        <f t="shared" si="10"/>
        <v>1.0483125</v>
      </c>
      <c r="E705" s="43">
        <v>30972.804001250392</v>
      </c>
      <c r="F705" s="140">
        <v>0.95043418103671229</v>
      </c>
    </row>
    <row r="706" spans="1:6">
      <c r="A706" s="149" t="s">
        <v>2962</v>
      </c>
      <c r="B706" s="144" t="s">
        <v>762</v>
      </c>
      <c r="C706" s="44">
        <v>16773</v>
      </c>
      <c r="D706" s="153">
        <f t="shared" si="10"/>
        <v>1.0483125</v>
      </c>
      <c r="E706" s="43">
        <v>30972.804001250392</v>
      </c>
      <c r="F706" s="140">
        <v>0.95043418103671229</v>
      </c>
    </row>
    <row r="707" spans="1:6">
      <c r="A707" s="149" t="s">
        <v>2962</v>
      </c>
      <c r="B707" s="144" t="s">
        <v>763</v>
      </c>
      <c r="C707" s="44">
        <v>16773</v>
      </c>
      <c r="D707" s="153">
        <f t="shared" si="10"/>
        <v>1.0483125</v>
      </c>
      <c r="E707" s="43">
        <v>30972.804001250392</v>
      </c>
      <c r="F707" s="140">
        <v>0.95043418103671229</v>
      </c>
    </row>
    <row r="708" spans="1:6">
      <c r="A708" s="149" t="s">
        <v>2962</v>
      </c>
      <c r="B708" s="144" t="s">
        <v>764</v>
      </c>
      <c r="C708" s="44">
        <v>16773</v>
      </c>
      <c r="D708" s="153">
        <f t="shared" si="10"/>
        <v>1.0483125</v>
      </c>
      <c r="E708" s="43">
        <v>30972.804001250392</v>
      </c>
      <c r="F708" s="140">
        <v>0.95043418103671229</v>
      </c>
    </row>
    <row r="709" spans="1:6">
      <c r="A709" s="149" t="s">
        <v>2962</v>
      </c>
      <c r="B709" s="144" t="s">
        <v>765</v>
      </c>
      <c r="C709" s="44">
        <v>16773</v>
      </c>
      <c r="D709" s="153">
        <f t="shared" si="10"/>
        <v>1.0483125</v>
      </c>
      <c r="E709" s="43">
        <v>30972.804001250392</v>
      </c>
      <c r="F709" s="140">
        <v>0.95043418103671229</v>
      </c>
    </row>
    <row r="710" spans="1:6">
      <c r="A710" s="149" t="s">
        <v>2962</v>
      </c>
      <c r="B710" s="144" t="s">
        <v>766</v>
      </c>
      <c r="C710" s="44">
        <v>16773</v>
      </c>
      <c r="D710" s="153">
        <f t="shared" si="10"/>
        <v>1.0483125</v>
      </c>
      <c r="E710" s="43">
        <v>30972.804001250392</v>
      </c>
      <c r="F710" s="140">
        <v>0.95043418103671229</v>
      </c>
    </row>
    <row r="711" spans="1:6">
      <c r="A711" s="149" t="s">
        <v>2962</v>
      </c>
      <c r="B711" s="144" t="s">
        <v>767</v>
      </c>
      <c r="C711" s="44">
        <v>16773</v>
      </c>
      <c r="D711" s="153">
        <f t="shared" ref="D711:D774" si="11">C711/32768*4.096/2</f>
        <v>1.0483125</v>
      </c>
      <c r="E711" s="43">
        <v>30972.804001250392</v>
      </c>
      <c r="F711" s="140">
        <v>0.95043418103671229</v>
      </c>
    </row>
    <row r="712" spans="1:6">
      <c r="A712" s="149" t="s">
        <v>2962</v>
      </c>
      <c r="B712" s="144" t="s">
        <v>768</v>
      </c>
      <c r="C712" s="44">
        <v>16773</v>
      </c>
      <c r="D712" s="153">
        <f t="shared" si="11"/>
        <v>1.0483125</v>
      </c>
      <c r="E712" s="43">
        <v>30972.804001250392</v>
      </c>
      <c r="F712" s="140">
        <v>0.95043418103671229</v>
      </c>
    </row>
    <row r="713" spans="1:6">
      <c r="A713" s="149" t="s">
        <v>2962</v>
      </c>
      <c r="B713" s="144" t="s">
        <v>769</v>
      </c>
      <c r="C713" s="44">
        <v>16773</v>
      </c>
      <c r="D713" s="153">
        <f t="shared" si="11"/>
        <v>1.0483125</v>
      </c>
      <c r="E713" s="43">
        <v>30972.804001250392</v>
      </c>
      <c r="F713" s="140">
        <v>0.95043418103671229</v>
      </c>
    </row>
    <row r="714" spans="1:6">
      <c r="A714" s="149" t="s">
        <v>2962</v>
      </c>
      <c r="B714" s="144" t="s">
        <v>770</v>
      </c>
      <c r="C714" s="44">
        <v>16773</v>
      </c>
      <c r="D714" s="153">
        <f t="shared" si="11"/>
        <v>1.0483125</v>
      </c>
      <c r="E714" s="43">
        <v>30972.804001250392</v>
      </c>
      <c r="F714" s="140">
        <v>0.95043418103671229</v>
      </c>
    </row>
    <row r="715" spans="1:6">
      <c r="A715" s="149" t="s">
        <v>2962</v>
      </c>
      <c r="B715" s="144" t="s">
        <v>771</v>
      </c>
      <c r="C715" s="44">
        <v>16773</v>
      </c>
      <c r="D715" s="153">
        <f t="shared" si="11"/>
        <v>1.0483125</v>
      </c>
      <c r="E715" s="43">
        <v>30972.804001250392</v>
      </c>
      <c r="F715" s="140">
        <v>0.95043418103671229</v>
      </c>
    </row>
    <row r="716" spans="1:6">
      <c r="A716" s="149" t="s">
        <v>2962</v>
      </c>
      <c r="B716" s="144" t="s">
        <v>772</v>
      </c>
      <c r="C716" s="44">
        <v>16773</v>
      </c>
      <c r="D716" s="153">
        <f t="shared" si="11"/>
        <v>1.0483125</v>
      </c>
      <c r="E716" s="43">
        <v>30972.804001250392</v>
      </c>
      <c r="F716" s="140">
        <v>0.95043418103671229</v>
      </c>
    </row>
    <row r="717" spans="1:6">
      <c r="A717" s="149" t="s">
        <v>2962</v>
      </c>
      <c r="B717" s="144" t="s">
        <v>773</v>
      </c>
      <c r="C717" s="44">
        <v>16773</v>
      </c>
      <c r="D717" s="153">
        <f t="shared" si="11"/>
        <v>1.0483125</v>
      </c>
      <c r="E717" s="43">
        <v>30972.804001250392</v>
      </c>
      <c r="F717" s="140">
        <v>0.95043418103671229</v>
      </c>
    </row>
    <row r="718" spans="1:6">
      <c r="A718" s="149" t="s">
        <v>2962</v>
      </c>
      <c r="B718" s="144" t="s">
        <v>774</v>
      </c>
      <c r="C718" s="44">
        <v>16773</v>
      </c>
      <c r="D718" s="153">
        <f t="shared" si="11"/>
        <v>1.0483125</v>
      </c>
      <c r="E718" s="43">
        <v>30972.804001250392</v>
      </c>
      <c r="F718" s="140">
        <v>0.95043418103671229</v>
      </c>
    </row>
    <row r="719" spans="1:6">
      <c r="A719" s="149" t="s">
        <v>2962</v>
      </c>
      <c r="B719" s="145" t="s">
        <v>775</v>
      </c>
      <c r="C719" s="142">
        <v>16773</v>
      </c>
      <c r="D719" s="153">
        <f t="shared" si="11"/>
        <v>1.0483125</v>
      </c>
      <c r="E719" s="143">
        <v>30972.804001250392</v>
      </c>
      <c r="F719" s="141">
        <v>0.95043418103671229</v>
      </c>
    </row>
    <row r="720" spans="1:6">
      <c r="A720" s="149" t="s">
        <v>2962</v>
      </c>
      <c r="B720" s="144" t="s">
        <v>776</v>
      </c>
      <c r="C720" s="44">
        <v>16773</v>
      </c>
      <c r="D720" s="153">
        <f t="shared" si="11"/>
        <v>1.0483125</v>
      </c>
      <c r="E720" s="43">
        <v>30972.804001250392</v>
      </c>
      <c r="F720" s="140">
        <v>0.95043418103671229</v>
      </c>
    </row>
    <row r="721" spans="1:6">
      <c r="A721" s="149" t="s">
        <v>2962</v>
      </c>
      <c r="B721" s="144" t="s">
        <v>777</v>
      </c>
      <c r="C721" s="44">
        <v>16773</v>
      </c>
      <c r="D721" s="153">
        <f t="shared" si="11"/>
        <v>1.0483125</v>
      </c>
      <c r="E721" s="43">
        <v>30972.804001250392</v>
      </c>
      <c r="F721" s="140">
        <v>0.95043418103671229</v>
      </c>
    </row>
    <row r="722" spans="1:6">
      <c r="A722" s="149" t="s">
        <v>2962</v>
      </c>
      <c r="B722" s="144" t="s">
        <v>778</v>
      </c>
      <c r="C722" s="44">
        <v>16773</v>
      </c>
      <c r="D722" s="153">
        <f t="shared" si="11"/>
        <v>1.0483125</v>
      </c>
      <c r="E722" s="43">
        <v>30972.804001250392</v>
      </c>
      <c r="F722" s="140">
        <v>0.95043418103671229</v>
      </c>
    </row>
    <row r="723" spans="1:6">
      <c r="A723" s="149" t="s">
        <v>2962</v>
      </c>
      <c r="B723" s="144" t="s">
        <v>779</v>
      </c>
      <c r="C723" s="44">
        <v>16773</v>
      </c>
      <c r="D723" s="153">
        <f t="shared" si="11"/>
        <v>1.0483125</v>
      </c>
      <c r="E723" s="43">
        <v>30972.804001250392</v>
      </c>
      <c r="F723" s="140">
        <v>0.95043418103671229</v>
      </c>
    </row>
    <row r="724" spans="1:6">
      <c r="A724" s="149" t="s">
        <v>2962</v>
      </c>
      <c r="B724" s="144" t="s">
        <v>780</v>
      </c>
      <c r="C724" s="44">
        <v>16773</v>
      </c>
      <c r="D724" s="153">
        <f t="shared" si="11"/>
        <v>1.0483125</v>
      </c>
      <c r="E724" s="43">
        <v>30972.804001250392</v>
      </c>
      <c r="F724" s="140">
        <v>0.95043418103671229</v>
      </c>
    </row>
    <row r="725" spans="1:6">
      <c r="A725" s="149" t="s">
        <v>2962</v>
      </c>
      <c r="B725" s="144" t="s">
        <v>781</v>
      </c>
      <c r="C725" s="44">
        <v>16773</v>
      </c>
      <c r="D725" s="153">
        <f t="shared" si="11"/>
        <v>1.0483125</v>
      </c>
      <c r="E725" s="43">
        <v>30972.804001250392</v>
      </c>
      <c r="F725" s="140">
        <v>0.95043418103671229</v>
      </c>
    </row>
    <row r="726" spans="1:6">
      <c r="A726" s="149" t="s">
        <v>2962</v>
      </c>
      <c r="B726" s="144" t="s">
        <v>782</v>
      </c>
      <c r="C726" s="44">
        <v>16773</v>
      </c>
      <c r="D726" s="153">
        <f t="shared" si="11"/>
        <v>1.0483125</v>
      </c>
      <c r="E726" s="43">
        <v>30972.804001250392</v>
      </c>
      <c r="F726" s="140">
        <v>0.95043418103671229</v>
      </c>
    </row>
    <row r="727" spans="1:6">
      <c r="A727" s="149" t="s">
        <v>2962</v>
      </c>
      <c r="B727" s="144" t="s">
        <v>783</v>
      </c>
      <c r="C727" s="44">
        <v>16773</v>
      </c>
      <c r="D727" s="153">
        <f t="shared" si="11"/>
        <v>1.0483125</v>
      </c>
      <c r="E727" s="43">
        <v>30972.804001250392</v>
      </c>
      <c r="F727" s="140">
        <v>0.95043418103671229</v>
      </c>
    </row>
    <row r="728" spans="1:6">
      <c r="A728" s="149" t="s">
        <v>2962</v>
      </c>
      <c r="B728" s="144" t="s">
        <v>784</v>
      </c>
      <c r="C728" s="44">
        <v>16773</v>
      </c>
      <c r="D728" s="153">
        <f t="shared" si="11"/>
        <v>1.0483125</v>
      </c>
      <c r="E728" s="43">
        <v>30972.804001250392</v>
      </c>
      <c r="F728" s="140">
        <v>0.95043418103671229</v>
      </c>
    </row>
    <row r="729" spans="1:6">
      <c r="A729" s="149" t="s">
        <v>2962</v>
      </c>
      <c r="B729" s="144" t="s">
        <v>785</v>
      </c>
      <c r="C729" s="44">
        <v>16773</v>
      </c>
      <c r="D729" s="153">
        <f t="shared" si="11"/>
        <v>1.0483125</v>
      </c>
      <c r="E729" s="43">
        <v>30972.804001250392</v>
      </c>
      <c r="F729" s="140">
        <v>0.95043418103671229</v>
      </c>
    </row>
    <row r="730" spans="1:6">
      <c r="A730" s="149" t="s">
        <v>2962</v>
      </c>
      <c r="B730" s="144" t="s">
        <v>786</v>
      </c>
      <c r="C730" s="44">
        <v>16773</v>
      </c>
      <c r="D730" s="153">
        <f t="shared" si="11"/>
        <v>1.0483125</v>
      </c>
      <c r="E730" s="43">
        <v>30972.804001250392</v>
      </c>
      <c r="F730" s="140">
        <v>0.95043418103671229</v>
      </c>
    </row>
    <row r="731" spans="1:6">
      <c r="A731" s="149" t="s">
        <v>2962</v>
      </c>
      <c r="B731" s="144" t="s">
        <v>787</v>
      </c>
      <c r="C731" s="44">
        <v>16773</v>
      </c>
      <c r="D731" s="153">
        <f t="shared" si="11"/>
        <v>1.0483125</v>
      </c>
      <c r="E731" s="43">
        <v>30972.804001250392</v>
      </c>
      <c r="F731" s="140">
        <v>0.95043418103671229</v>
      </c>
    </row>
    <row r="732" spans="1:6">
      <c r="A732" s="149" t="s">
        <v>2962</v>
      </c>
      <c r="B732" s="144" t="s">
        <v>788</v>
      </c>
      <c r="C732" s="44">
        <v>16773</v>
      </c>
      <c r="D732" s="153">
        <f t="shared" si="11"/>
        <v>1.0483125</v>
      </c>
      <c r="E732" s="43">
        <v>30972.804001250392</v>
      </c>
      <c r="F732" s="140">
        <v>0.95043418103671229</v>
      </c>
    </row>
    <row r="733" spans="1:6">
      <c r="A733" s="149" t="s">
        <v>2962</v>
      </c>
      <c r="B733" s="144" t="s">
        <v>789</v>
      </c>
      <c r="C733" s="44">
        <v>16773</v>
      </c>
      <c r="D733" s="153">
        <f t="shared" si="11"/>
        <v>1.0483125</v>
      </c>
      <c r="E733" s="43">
        <v>30972.804001250392</v>
      </c>
      <c r="F733" s="140">
        <v>0.95043418103671229</v>
      </c>
    </row>
    <row r="734" spans="1:6">
      <c r="A734" s="149" t="s">
        <v>2962</v>
      </c>
      <c r="B734" s="144" t="s">
        <v>790</v>
      </c>
      <c r="C734" s="44">
        <v>16773</v>
      </c>
      <c r="D734" s="153">
        <f t="shared" si="11"/>
        <v>1.0483125</v>
      </c>
      <c r="E734" s="43">
        <v>30972.804001250392</v>
      </c>
      <c r="F734" s="140">
        <v>0.95043418103671229</v>
      </c>
    </row>
    <row r="735" spans="1:6">
      <c r="A735" s="149" t="s">
        <v>2962</v>
      </c>
      <c r="B735" s="144" t="s">
        <v>791</v>
      </c>
      <c r="C735" s="44">
        <v>16773</v>
      </c>
      <c r="D735" s="153">
        <f t="shared" si="11"/>
        <v>1.0483125</v>
      </c>
      <c r="E735" s="43">
        <v>30972.804001250392</v>
      </c>
      <c r="F735" s="140">
        <v>0.95043418103671229</v>
      </c>
    </row>
    <row r="736" spans="1:6">
      <c r="A736" s="149" t="s">
        <v>2962</v>
      </c>
      <c r="B736" s="144" t="s">
        <v>792</v>
      </c>
      <c r="C736" s="44">
        <v>16773</v>
      </c>
      <c r="D736" s="153">
        <f t="shared" si="11"/>
        <v>1.0483125</v>
      </c>
      <c r="E736" s="43">
        <v>30972.804001250392</v>
      </c>
      <c r="F736" s="140">
        <v>0.95043418103671229</v>
      </c>
    </row>
    <row r="737" spans="1:6">
      <c r="A737" s="149" t="s">
        <v>2962</v>
      </c>
      <c r="B737" s="144" t="s">
        <v>793</v>
      </c>
      <c r="C737" s="44">
        <v>16773</v>
      </c>
      <c r="D737" s="153">
        <f t="shared" si="11"/>
        <v>1.0483125</v>
      </c>
      <c r="E737" s="43">
        <v>30972.804001250392</v>
      </c>
      <c r="F737" s="140">
        <v>0.95043418103671229</v>
      </c>
    </row>
    <row r="738" spans="1:6">
      <c r="A738" s="149" t="s">
        <v>2962</v>
      </c>
      <c r="B738" s="144" t="s">
        <v>794</v>
      </c>
      <c r="C738" s="44">
        <v>16773</v>
      </c>
      <c r="D738" s="153">
        <f t="shared" si="11"/>
        <v>1.0483125</v>
      </c>
      <c r="E738" s="43">
        <v>30972.804001250392</v>
      </c>
      <c r="F738" s="140">
        <v>0.95043418103671229</v>
      </c>
    </row>
    <row r="739" spans="1:6">
      <c r="A739" s="149" t="s">
        <v>2962</v>
      </c>
      <c r="B739" s="144" t="s">
        <v>795</v>
      </c>
      <c r="C739" s="44">
        <v>16773</v>
      </c>
      <c r="D739" s="153">
        <f t="shared" si="11"/>
        <v>1.0483125</v>
      </c>
      <c r="E739" s="43">
        <v>30972.804001250392</v>
      </c>
      <c r="F739" s="140">
        <v>0.95043418103671229</v>
      </c>
    </row>
    <row r="740" spans="1:6">
      <c r="A740" s="149" t="s">
        <v>2962</v>
      </c>
      <c r="B740" s="144" t="s">
        <v>796</v>
      </c>
      <c r="C740" s="44">
        <v>16773</v>
      </c>
      <c r="D740" s="153">
        <f t="shared" si="11"/>
        <v>1.0483125</v>
      </c>
      <c r="E740" s="43">
        <v>30972.804001250392</v>
      </c>
      <c r="F740" s="140">
        <v>0.95043418103671229</v>
      </c>
    </row>
    <row r="741" spans="1:6">
      <c r="A741" s="149" t="s">
        <v>2962</v>
      </c>
      <c r="B741" s="144" t="s">
        <v>797</v>
      </c>
      <c r="C741" s="44">
        <v>16773</v>
      </c>
      <c r="D741" s="153">
        <f t="shared" si="11"/>
        <v>1.0483125</v>
      </c>
      <c r="E741" s="43">
        <v>30972.804001250392</v>
      </c>
      <c r="F741" s="140">
        <v>0.95043418103671229</v>
      </c>
    </row>
    <row r="742" spans="1:6">
      <c r="A742" s="149" t="s">
        <v>2962</v>
      </c>
      <c r="B742" s="144" t="s">
        <v>798</v>
      </c>
      <c r="C742" s="44">
        <v>16773</v>
      </c>
      <c r="D742" s="153">
        <f t="shared" si="11"/>
        <v>1.0483125</v>
      </c>
      <c r="E742" s="43">
        <v>30972.804001250392</v>
      </c>
      <c r="F742" s="140">
        <v>0.95043418103671229</v>
      </c>
    </row>
    <row r="743" spans="1:6">
      <c r="A743" s="149" t="s">
        <v>2962</v>
      </c>
      <c r="B743" s="144" t="s">
        <v>799</v>
      </c>
      <c r="C743" s="44">
        <v>16773</v>
      </c>
      <c r="D743" s="153">
        <f t="shared" si="11"/>
        <v>1.0483125</v>
      </c>
      <c r="E743" s="43">
        <v>30972.804001250392</v>
      </c>
      <c r="F743" s="140">
        <v>0.95043418103671229</v>
      </c>
    </row>
    <row r="744" spans="1:6">
      <c r="A744" s="149" t="s">
        <v>2962</v>
      </c>
      <c r="B744" s="144" t="s">
        <v>800</v>
      </c>
      <c r="C744" s="44">
        <v>16773</v>
      </c>
      <c r="D744" s="153">
        <f t="shared" si="11"/>
        <v>1.0483125</v>
      </c>
      <c r="E744" s="43">
        <v>30972.804001250392</v>
      </c>
      <c r="F744" s="140">
        <v>0.95043418103671229</v>
      </c>
    </row>
    <row r="745" spans="1:6">
      <c r="A745" s="149" t="s">
        <v>2962</v>
      </c>
      <c r="B745" s="144" t="s">
        <v>801</v>
      </c>
      <c r="C745" s="44">
        <v>16773</v>
      </c>
      <c r="D745" s="153">
        <f t="shared" si="11"/>
        <v>1.0483125</v>
      </c>
      <c r="E745" s="43">
        <v>30972.804001250392</v>
      </c>
      <c r="F745" s="140">
        <v>0.95043418103671229</v>
      </c>
    </row>
    <row r="746" spans="1:6">
      <c r="A746" s="149" t="s">
        <v>2962</v>
      </c>
      <c r="B746" s="144" t="s">
        <v>802</v>
      </c>
      <c r="C746" s="44">
        <v>16773</v>
      </c>
      <c r="D746" s="153">
        <f t="shared" si="11"/>
        <v>1.0483125</v>
      </c>
      <c r="E746" s="43">
        <v>30972.804001250392</v>
      </c>
      <c r="F746" s="140">
        <v>0.95043418103671229</v>
      </c>
    </row>
    <row r="747" spans="1:6">
      <c r="A747" s="149" t="s">
        <v>2962</v>
      </c>
      <c r="B747" s="144" t="s">
        <v>803</v>
      </c>
      <c r="C747" s="44">
        <v>16773</v>
      </c>
      <c r="D747" s="153">
        <f t="shared" si="11"/>
        <v>1.0483125</v>
      </c>
      <c r="E747" s="43">
        <v>30972.804001250392</v>
      </c>
      <c r="F747" s="140">
        <v>0.95043418103671229</v>
      </c>
    </row>
    <row r="748" spans="1:6">
      <c r="A748" s="149" t="s">
        <v>2962</v>
      </c>
      <c r="B748" s="144" t="s">
        <v>804</v>
      </c>
      <c r="C748" s="44">
        <v>16773</v>
      </c>
      <c r="D748" s="153">
        <f t="shared" si="11"/>
        <v>1.0483125</v>
      </c>
      <c r="E748" s="43">
        <v>30972.804001250392</v>
      </c>
      <c r="F748" s="140">
        <v>0.95043418103671229</v>
      </c>
    </row>
    <row r="749" spans="1:6">
      <c r="A749" s="149" t="s">
        <v>2962</v>
      </c>
      <c r="B749" s="144" t="s">
        <v>805</v>
      </c>
      <c r="C749" s="44">
        <v>16773</v>
      </c>
      <c r="D749" s="153">
        <f t="shared" si="11"/>
        <v>1.0483125</v>
      </c>
      <c r="E749" s="43">
        <v>30972.804001250392</v>
      </c>
      <c r="F749" s="140">
        <v>0.95043418103671229</v>
      </c>
    </row>
    <row r="750" spans="1:6">
      <c r="A750" s="149" t="s">
        <v>2962</v>
      </c>
      <c r="B750" s="144" t="s">
        <v>806</v>
      </c>
      <c r="C750" s="44">
        <v>16773</v>
      </c>
      <c r="D750" s="153">
        <f t="shared" si="11"/>
        <v>1.0483125</v>
      </c>
      <c r="E750" s="43">
        <v>30972.804001250392</v>
      </c>
      <c r="F750" s="140">
        <v>0.95043418103671229</v>
      </c>
    </row>
    <row r="751" spans="1:6">
      <c r="A751" s="149" t="s">
        <v>2962</v>
      </c>
      <c r="B751" s="144" t="s">
        <v>807</v>
      </c>
      <c r="C751" s="44">
        <v>16773</v>
      </c>
      <c r="D751" s="153">
        <f t="shared" si="11"/>
        <v>1.0483125</v>
      </c>
      <c r="E751" s="43">
        <v>30972.804001250392</v>
      </c>
      <c r="F751" s="140">
        <v>0.95043418103671229</v>
      </c>
    </row>
    <row r="752" spans="1:6">
      <c r="A752" s="149" t="s">
        <v>2962</v>
      </c>
      <c r="B752" s="144" t="s">
        <v>808</v>
      </c>
      <c r="C752" s="44">
        <v>16773</v>
      </c>
      <c r="D752" s="153">
        <f t="shared" si="11"/>
        <v>1.0483125</v>
      </c>
      <c r="E752" s="43">
        <v>30972.804001250392</v>
      </c>
      <c r="F752" s="140">
        <v>0.95043418103671229</v>
      </c>
    </row>
    <row r="753" spans="1:6">
      <c r="A753" s="149" t="s">
        <v>2962</v>
      </c>
      <c r="B753" s="144" t="s">
        <v>809</v>
      </c>
      <c r="C753" s="44">
        <v>16773</v>
      </c>
      <c r="D753" s="153">
        <f t="shared" si="11"/>
        <v>1.0483125</v>
      </c>
      <c r="E753" s="43">
        <v>30972.804001250392</v>
      </c>
      <c r="F753" s="140">
        <v>0.95043418103671229</v>
      </c>
    </row>
    <row r="754" spans="1:6">
      <c r="A754" s="149" t="s">
        <v>2962</v>
      </c>
      <c r="B754" s="144" t="s">
        <v>810</v>
      </c>
      <c r="C754" s="44">
        <v>16773</v>
      </c>
      <c r="D754" s="153">
        <f t="shared" si="11"/>
        <v>1.0483125</v>
      </c>
      <c r="E754" s="43">
        <v>30972.804001250392</v>
      </c>
      <c r="F754" s="140">
        <v>0.95043418103671229</v>
      </c>
    </row>
    <row r="755" spans="1:6">
      <c r="A755" s="149" t="s">
        <v>2962</v>
      </c>
      <c r="B755" s="144" t="s">
        <v>811</v>
      </c>
      <c r="C755" s="44">
        <v>16773</v>
      </c>
      <c r="D755" s="153">
        <f t="shared" si="11"/>
        <v>1.0483125</v>
      </c>
      <c r="E755" s="43">
        <v>30972.804001250392</v>
      </c>
      <c r="F755" s="140">
        <v>0.95043418103671229</v>
      </c>
    </row>
    <row r="756" spans="1:6">
      <c r="A756" s="149" t="s">
        <v>2962</v>
      </c>
      <c r="B756" s="144" t="s">
        <v>812</v>
      </c>
      <c r="C756" s="44">
        <v>16773</v>
      </c>
      <c r="D756" s="153">
        <f t="shared" si="11"/>
        <v>1.0483125</v>
      </c>
      <c r="E756" s="43">
        <v>30972.804001250392</v>
      </c>
      <c r="F756" s="140">
        <v>0.95043418103671229</v>
      </c>
    </row>
    <row r="757" spans="1:6">
      <c r="A757" s="149" t="s">
        <v>2962</v>
      </c>
      <c r="B757" s="144" t="s">
        <v>813</v>
      </c>
      <c r="C757" s="44">
        <v>16773</v>
      </c>
      <c r="D757" s="153">
        <f t="shared" si="11"/>
        <v>1.0483125</v>
      </c>
      <c r="E757" s="43">
        <v>30972.804001250392</v>
      </c>
      <c r="F757" s="140">
        <v>0.95043418103671229</v>
      </c>
    </row>
    <row r="758" spans="1:6">
      <c r="A758" s="149" t="s">
        <v>2962</v>
      </c>
      <c r="B758" s="144" t="s">
        <v>814</v>
      </c>
      <c r="C758" s="44">
        <v>16773</v>
      </c>
      <c r="D758" s="153">
        <f t="shared" si="11"/>
        <v>1.0483125</v>
      </c>
      <c r="E758" s="43">
        <v>30972.804001250392</v>
      </c>
      <c r="F758" s="140">
        <v>0.95043418103671229</v>
      </c>
    </row>
    <row r="759" spans="1:6">
      <c r="A759" s="149" t="s">
        <v>2962</v>
      </c>
      <c r="B759" s="144" t="s">
        <v>815</v>
      </c>
      <c r="C759" s="44">
        <v>16773</v>
      </c>
      <c r="D759" s="153">
        <f t="shared" si="11"/>
        <v>1.0483125</v>
      </c>
      <c r="E759" s="43">
        <v>30972.804001250392</v>
      </c>
      <c r="F759" s="140">
        <v>0.95043418103671229</v>
      </c>
    </row>
    <row r="760" spans="1:6">
      <c r="A760" s="149" t="s">
        <v>2962</v>
      </c>
      <c r="B760" s="144" t="s">
        <v>816</v>
      </c>
      <c r="C760" s="44">
        <v>16773</v>
      </c>
      <c r="D760" s="153">
        <f t="shared" si="11"/>
        <v>1.0483125</v>
      </c>
      <c r="E760" s="43">
        <v>30972.804001250392</v>
      </c>
      <c r="F760" s="140">
        <v>0.95043418103671229</v>
      </c>
    </row>
    <row r="761" spans="1:6">
      <c r="A761" s="149" t="s">
        <v>2962</v>
      </c>
      <c r="B761" s="144" t="s">
        <v>817</v>
      </c>
      <c r="C761" s="44">
        <v>16773</v>
      </c>
      <c r="D761" s="153">
        <f t="shared" si="11"/>
        <v>1.0483125</v>
      </c>
      <c r="E761" s="43">
        <v>30972.804001250392</v>
      </c>
      <c r="F761" s="140">
        <v>0.95043418103671229</v>
      </c>
    </row>
    <row r="762" spans="1:6">
      <c r="A762" s="149" t="s">
        <v>2962</v>
      </c>
      <c r="B762" s="144" t="s">
        <v>818</v>
      </c>
      <c r="C762" s="44">
        <v>16773</v>
      </c>
      <c r="D762" s="153">
        <f t="shared" si="11"/>
        <v>1.0483125</v>
      </c>
      <c r="E762" s="43">
        <v>30972.804001250392</v>
      </c>
      <c r="F762" s="140">
        <v>0.95043418103671229</v>
      </c>
    </row>
    <row r="763" spans="1:6">
      <c r="A763" s="149" t="s">
        <v>2962</v>
      </c>
      <c r="B763" s="144" t="s">
        <v>819</v>
      </c>
      <c r="C763" s="44">
        <v>16773</v>
      </c>
      <c r="D763" s="153">
        <f t="shared" si="11"/>
        <v>1.0483125</v>
      </c>
      <c r="E763" s="43">
        <v>30972.804001250392</v>
      </c>
      <c r="F763" s="140">
        <v>0.95043418103671229</v>
      </c>
    </row>
    <row r="764" spans="1:6">
      <c r="A764" s="149" t="s">
        <v>2962</v>
      </c>
      <c r="B764" s="144" t="s">
        <v>820</v>
      </c>
      <c r="C764" s="44">
        <v>16773</v>
      </c>
      <c r="D764" s="153">
        <f t="shared" si="11"/>
        <v>1.0483125</v>
      </c>
      <c r="E764" s="43">
        <v>30972.804001250392</v>
      </c>
      <c r="F764" s="140">
        <v>0.95043418103671229</v>
      </c>
    </row>
    <row r="765" spans="1:6">
      <c r="A765" s="149" t="s">
        <v>2962</v>
      </c>
      <c r="B765" s="144" t="s">
        <v>821</v>
      </c>
      <c r="C765" s="44">
        <v>16773</v>
      </c>
      <c r="D765" s="153">
        <f t="shared" si="11"/>
        <v>1.0483125</v>
      </c>
      <c r="E765" s="43">
        <v>30972.804001250392</v>
      </c>
      <c r="F765" s="140">
        <v>0.95043418103671229</v>
      </c>
    </row>
    <row r="766" spans="1:6">
      <c r="A766" s="149" t="s">
        <v>2962</v>
      </c>
      <c r="B766" s="144" t="s">
        <v>822</v>
      </c>
      <c r="C766" s="44">
        <v>16773</v>
      </c>
      <c r="D766" s="153">
        <f t="shared" si="11"/>
        <v>1.0483125</v>
      </c>
      <c r="E766" s="43">
        <v>30972.804001250392</v>
      </c>
      <c r="F766" s="140">
        <v>0.95043418103671229</v>
      </c>
    </row>
    <row r="767" spans="1:6">
      <c r="A767" s="149" t="s">
        <v>2962</v>
      </c>
      <c r="B767" s="144" t="s">
        <v>823</v>
      </c>
      <c r="C767" s="44">
        <v>16773</v>
      </c>
      <c r="D767" s="153">
        <f t="shared" si="11"/>
        <v>1.0483125</v>
      </c>
      <c r="E767" s="43">
        <v>30972.804001250392</v>
      </c>
      <c r="F767" s="140">
        <v>0.95043418103671229</v>
      </c>
    </row>
    <row r="768" spans="1:6">
      <c r="A768" s="149" t="s">
        <v>2962</v>
      </c>
      <c r="B768" s="144" t="s">
        <v>824</v>
      </c>
      <c r="C768" s="44">
        <v>16773</v>
      </c>
      <c r="D768" s="153">
        <f t="shared" si="11"/>
        <v>1.0483125</v>
      </c>
      <c r="E768" s="43">
        <v>30972.804001250392</v>
      </c>
      <c r="F768" s="140">
        <v>0.95043418103671229</v>
      </c>
    </row>
    <row r="769" spans="1:6">
      <c r="A769" s="149" t="s">
        <v>2962</v>
      </c>
      <c r="B769" s="144" t="s">
        <v>825</v>
      </c>
      <c r="C769" s="44">
        <v>16773</v>
      </c>
      <c r="D769" s="153">
        <f t="shared" si="11"/>
        <v>1.0483125</v>
      </c>
      <c r="E769" s="43">
        <v>30972.804001250392</v>
      </c>
      <c r="F769" s="140">
        <v>0.95043418103671229</v>
      </c>
    </row>
    <row r="770" spans="1:6">
      <c r="A770" s="149" t="s">
        <v>2962</v>
      </c>
      <c r="B770" s="144" t="s">
        <v>826</v>
      </c>
      <c r="C770" s="44">
        <v>16773</v>
      </c>
      <c r="D770" s="153">
        <f t="shared" si="11"/>
        <v>1.0483125</v>
      </c>
      <c r="E770" s="43">
        <v>30972.804001250392</v>
      </c>
      <c r="F770" s="140">
        <v>0.95043418103671229</v>
      </c>
    </row>
    <row r="771" spans="1:6">
      <c r="A771" s="149" t="s">
        <v>2962</v>
      </c>
      <c r="B771" s="144" t="s">
        <v>827</v>
      </c>
      <c r="C771" s="44">
        <v>16773</v>
      </c>
      <c r="D771" s="153">
        <f t="shared" si="11"/>
        <v>1.0483125</v>
      </c>
      <c r="E771" s="43">
        <v>30972.804001250392</v>
      </c>
      <c r="F771" s="140">
        <v>0.95043418103671229</v>
      </c>
    </row>
    <row r="772" spans="1:6">
      <c r="A772" s="149" t="s">
        <v>2962</v>
      </c>
      <c r="B772" s="144" t="s">
        <v>828</v>
      </c>
      <c r="C772" s="44">
        <v>16773</v>
      </c>
      <c r="D772" s="153">
        <f t="shared" si="11"/>
        <v>1.0483125</v>
      </c>
      <c r="E772" s="43">
        <v>30972.804001250392</v>
      </c>
      <c r="F772" s="140">
        <v>0.95043418103671229</v>
      </c>
    </row>
    <row r="773" spans="1:6">
      <c r="A773" s="149" t="s">
        <v>2962</v>
      </c>
      <c r="B773" s="144" t="s">
        <v>829</v>
      </c>
      <c r="C773" s="44">
        <v>16773</v>
      </c>
      <c r="D773" s="153">
        <f t="shared" si="11"/>
        <v>1.0483125</v>
      </c>
      <c r="E773" s="43">
        <v>30972.804001250392</v>
      </c>
      <c r="F773" s="140">
        <v>0.95043418103671229</v>
      </c>
    </row>
    <row r="774" spans="1:6">
      <c r="A774" s="149" t="s">
        <v>2962</v>
      </c>
      <c r="B774" s="144" t="s">
        <v>830</v>
      </c>
      <c r="C774" s="44">
        <v>16773</v>
      </c>
      <c r="D774" s="153">
        <f t="shared" si="11"/>
        <v>1.0483125</v>
      </c>
      <c r="E774" s="43">
        <v>30972.804001250392</v>
      </c>
      <c r="F774" s="140">
        <v>0.95043418103671229</v>
      </c>
    </row>
    <row r="775" spans="1:6">
      <c r="A775" s="149" t="s">
        <v>2962</v>
      </c>
      <c r="B775" s="144" t="s">
        <v>831</v>
      </c>
      <c r="C775" s="44">
        <v>16773</v>
      </c>
      <c r="D775" s="153">
        <f t="shared" ref="D775:D838" si="12">C775/32768*4.096/2</f>
        <v>1.0483125</v>
      </c>
      <c r="E775" s="43">
        <v>30972.804001250392</v>
      </c>
      <c r="F775" s="140">
        <v>0.95043418103671229</v>
      </c>
    </row>
    <row r="776" spans="1:6">
      <c r="A776" s="149" t="s">
        <v>2962</v>
      </c>
      <c r="B776" s="144" t="s">
        <v>832</v>
      </c>
      <c r="C776" s="44">
        <v>16773</v>
      </c>
      <c r="D776" s="153">
        <f t="shared" si="12"/>
        <v>1.0483125</v>
      </c>
      <c r="E776" s="43">
        <v>30972.804001250392</v>
      </c>
      <c r="F776" s="140">
        <v>0.95043418103671229</v>
      </c>
    </row>
    <row r="777" spans="1:6">
      <c r="A777" s="149" t="s">
        <v>2962</v>
      </c>
      <c r="B777" s="144" t="s">
        <v>833</v>
      </c>
      <c r="C777" s="44">
        <v>16773</v>
      </c>
      <c r="D777" s="153">
        <f t="shared" si="12"/>
        <v>1.0483125</v>
      </c>
      <c r="E777" s="43">
        <v>30972.804001250392</v>
      </c>
      <c r="F777" s="140">
        <v>0.95043418103671229</v>
      </c>
    </row>
    <row r="778" spans="1:6">
      <c r="A778" s="149" t="s">
        <v>2962</v>
      </c>
      <c r="B778" s="144" t="s">
        <v>834</v>
      </c>
      <c r="C778" s="44">
        <v>16773</v>
      </c>
      <c r="D778" s="153">
        <f t="shared" si="12"/>
        <v>1.0483125</v>
      </c>
      <c r="E778" s="43">
        <v>30972.804001250392</v>
      </c>
      <c r="F778" s="140">
        <v>0.95043418103671229</v>
      </c>
    </row>
    <row r="779" spans="1:6">
      <c r="A779" s="149" t="s">
        <v>2962</v>
      </c>
      <c r="B779" s="144" t="s">
        <v>835</v>
      </c>
      <c r="C779" s="44">
        <v>16773</v>
      </c>
      <c r="D779" s="153">
        <f t="shared" si="12"/>
        <v>1.0483125</v>
      </c>
      <c r="E779" s="43">
        <v>30972.804001250392</v>
      </c>
      <c r="F779" s="140">
        <v>0.95043418103671229</v>
      </c>
    </row>
    <row r="780" spans="1:6">
      <c r="A780" s="149" t="s">
        <v>2962</v>
      </c>
      <c r="B780" s="144" t="s">
        <v>836</v>
      </c>
      <c r="C780" s="44">
        <v>16773</v>
      </c>
      <c r="D780" s="153">
        <f t="shared" si="12"/>
        <v>1.0483125</v>
      </c>
      <c r="E780" s="43">
        <v>30972.804001250392</v>
      </c>
      <c r="F780" s="140">
        <v>0.95043418103671229</v>
      </c>
    </row>
    <row r="781" spans="1:6">
      <c r="A781" s="149" t="s">
        <v>2962</v>
      </c>
      <c r="B781" s="144" t="s">
        <v>837</v>
      </c>
      <c r="C781" s="44">
        <v>16773</v>
      </c>
      <c r="D781" s="153">
        <f t="shared" si="12"/>
        <v>1.0483125</v>
      </c>
      <c r="E781" s="43">
        <v>30972.804001250392</v>
      </c>
      <c r="F781" s="140">
        <v>0.95043418103671229</v>
      </c>
    </row>
    <row r="782" spans="1:6">
      <c r="A782" s="149" t="s">
        <v>2962</v>
      </c>
      <c r="B782" s="144" t="s">
        <v>838</v>
      </c>
      <c r="C782" s="44">
        <v>16773</v>
      </c>
      <c r="D782" s="153">
        <f t="shared" si="12"/>
        <v>1.0483125</v>
      </c>
      <c r="E782" s="43">
        <v>30972.804001250392</v>
      </c>
      <c r="F782" s="140">
        <v>0.95043418103671229</v>
      </c>
    </row>
    <row r="783" spans="1:6">
      <c r="A783" s="149" t="s">
        <v>2962</v>
      </c>
      <c r="B783" s="144" t="s">
        <v>839</v>
      </c>
      <c r="C783" s="44">
        <v>16773</v>
      </c>
      <c r="D783" s="153">
        <f t="shared" si="12"/>
        <v>1.0483125</v>
      </c>
      <c r="E783" s="43">
        <v>30972.804001250392</v>
      </c>
      <c r="F783" s="140">
        <v>0.95043418103671229</v>
      </c>
    </row>
    <row r="784" spans="1:6">
      <c r="A784" s="149" t="s">
        <v>2962</v>
      </c>
      <c r="B784" s="144" t="s">
        <v>840</v>
      </c>
      <c r="C784" s="44">
        <v>16773</v>
      </c>
      <c r="D784" s="153">
        <f t="shared" si="12"/>
        <v>1.0483125</v>
      </c>
      <c r="E784" s="43">
        <v>30972.804001250392</v>
      </c>
      <c r="F784" s="140">
        <v>0.95043418103671229</v>
      </c>
    </row>
    <row r="785" spans="1:6">
      <c r="A785" s="149" t="s">
        <v>2962</v>
      </c>
      <c r="B785" s="144" t="s">
        <v>841</v>
      </c>
      <c r="C785" s="44">
        <v>16773</v>
      </c>
      <c r="D785" s="153">
        <f t="shared" si="12"/>
        <v>1.0483125</v>
      </c>
      <c r="E785" s="43">
        <v>30972.804001250392</v>
      </c>
      <c r="F785" s="140">
        <v>0.95043418103671229</v>
      </c>
    </row>
    <row r="786" spans="1:6">
      <c r="A786" s="149" t="s">
        <v>2962</v>
      </c>
      <c r="B786" s="144" t="s">
        <v>842</v>
      </c>
      <c r="C786" s="44">
        <v>16773</v>
      </c>
      <c r="D786" s="153">
        <f t="shared" si="12"/>
        <v>1.0483125</v>
      </c>
      <c r="E786" s="43">
        <v>30972.804001250392</v>
      </c>
      <c r="F786" s="140">
        <v>0.95043418103671229</v>
      </c>
    </row>
    <row r="787" spans="1:6">
      <c r="A787" s="149" t="s">
        <v>2962</v>
      </c>
      <c r="B787" s="144" t="s">
        <v>843</v>
      </c>
      <c r="C787" s="44">
        <v>16773</v>
      </c>
      <c r="D787" s="153">
        <f t="shared" si="12"/>
        <v>1.0483125</v>
      </c>
      <c r="E787" s="43">
        <v>30972.804001250392</v>
      </c>
      <c r="F787" s="140">
        <v>0.95043418103671229</v>
      </c>
    </row>
    <row r="788" spans="1:6">
      <c r="A788" s="149" t="s">
        <v>2962</v>
      </c>
      <c r="B788" s="144" t="s">
        <v>844</v>
      </c>
      <c r="C788" s="44">
        <v>16773</v>
      </c>
      <c r="D788" s="153">
        <f t="shared" si="12"/>
        <v>1.0483125</v>
      </c>
      <c r="E788" s="43">
        <v>30972.804001250392</v>
      </c>
      <c r="F788" s="140">
        <v>0.95043418103671229</v>
      </c>
    </row>
    <row r="789" spans="1:6">
      <c r="A789" s="149" t="s">
        <v>2962</v>
      </c>
      <c r="B789" s="144" t="s">
        <v>845</v>
      </c>
      <c r="C789" s="44">
        <v>16773</v>
      </c>
      <c r="D789" s="153">
        <f t="shared" si="12"/>
        <v>1.0483125</v>
      </c>
      <c r="E789" s="43">
        <v>30972.804001250392</v>
      </c>
      <c r="F789" s="140">
        <v>0.95043418103671229</v>
      </c>
    </row>
    <row r="790" spans="1:6">
      <c r="A790" s="149" t="s">
        <v>2962</v>
      </c>
      <c r="B790" s="144" t="s">
        <v>846</v>
      </c>
      <c r="C790" s="44">
        <v>16773</v>
      </c>
      <c r="D790" s="153">
        <f t="shared" si="12"/>
        <v>1.0483125</v>
      </c>
      <c r="E790" s="43">
        <v>30972.804001250392</v>
      </c>
      <c r="F790" s="140">
        <v>0.95043418103671229</v>
      </c>
    </row>
    <row r="791" spans="1:6">
      <c r="A791" s="149" t="s">
        <v>2962</v>
      </c>
      <c r="B791" s="144" t="s">
        <v>847</v>
      </c>
      <c r="C791" s="44">
        <v>16773</v>
      </c>
      <c r="D791" s="153">
        <f t="shared" si="12"/>
        <v>1.0483125</v>
      </c>
      <c r="E791" s="43">
        <v>30972.804001250392</v>
      </c>
      <c r="F791" s="140">
        <v>0.95043418103671229</v>
      </c>
    </row>
    <row r="792" spans="1:6">
      <c r="A792" s="149" t="s">
        <v>2962</v>
      </c>
      <c r="B792" s="144" t="s">
        <v>848</v>
      </c>
      <c r="C792" s="44">
        <v>16773</v>
      </c>
      <c r="D792" s="153">
        <f t="shared" si="12"/>
        <v>1.0483125</v>
      </c>
      <c r="E792" s="43">
        <v>30972.804001250392</v>
      </c>
      <c r="F792" s="140">
        <v>0.95043418103671229</v>
      </c>
    </row>
    <row r="793" spans="1:6">
      <c r="A793" s="149" t="s">
        <v>2962</v>
      </c>
      <c r="B793" s="144" t="s">
        <v>849</v>
      </c>
      <c r="C793" s="44">
        <v>16773</v>
      </c>
      <c r="D793" s="153">
        <f t="shared" si="12"/>
        <v>1.0483125</v>
      </c>
      <c r="E793" s="43">
        <v>30972.804001250392</v>
      </c>
      <c r="F793" s="140">
        <v>0.95043418103671229</v>
      </c>
    </row>
    <row r="794" spans="1:6">
      <c r="A794" s="149" t="s">
        <v>2962</v>
      </c>
      <c r="B794" s="144" t="s">
        <v>850</v>
      </c>
      <c r="C794" s="44">
        <v>16773</v>
      </c>
      <c r="D794" s="153">
        <f t="shared" si="12"/>
        <v>1.0483125</v>
      </c>
      <c r="E794" s="43">
        <v>30972.804001250392</v>
      </c>
      <c r="F794" s="140">
        <v>0.95043418103671229</v>
      </c>
    </row>
    <row r="795" spans="1:6">
      <c r="A795" s="149" t="s">
        <v>2962</v>
      </c>
      <c r="B795" s="144" t="s">
        <v>851</v>
      </c>
      <c r="C795" s="44">
        <v>16773</v>
      </c>
      <c r="D795" s="153">
        <f t="shared" si="12"/>
        <v>1.0483125</v>
      </c>
      <c r="E795" s="43">
        <v>30972.804001250392</v>
      </c>
      <c r="F795" s="140">
        <v>0.95043418103671229</v>
      </c>
    </row>
    <row r="796" spans="1:6">
      <c r="A796" s="149" t="s">
        <v>2962</v>
      </c>
      <c r="B796" s="144" t="s">
        <v>852</v>
      </c>
      <c r="C796" s="44">
        <v>16773</v>
      </c>
      <c r="D796" s="153">
        <f t="shared" si="12"/>
        <v>1.0483125</v>
      </c>
      <c r="E796" s="43">
        <v>30972.804001250392</v>
      </c>
      <c r="F796" s="140">
        <v>0.95043418103671229</v>
      </c>
    </row>
    <row r="797" spans="1:6">
      <c r="A797" s="149" t="s">
        <v>2962</v>
      </c>
      <c r="B797" s="144" t="s">
        <v>853</v>
      </c>
      <c r="C797" s="44">
        <v>16773</v>
      </c>
      <c r="D797" s="153">
        <f t="shared" si="12"/>
        <v>1.0483125</v>
      </c>
      <c r="E797" s="43">
        <v>30972.804001250392</v>
      </c>
      <c r="F797" s="140">
        <v>0.95043418103671229</v>
      </c>
    </row>
    <row r="798" spans="1:6">
      <c r="A798" s="149" t="s">
        <v>2962</v>
      </c>
      <c r="B798" s="144" t="s">
        <v>854</v>
      </c>
      <c r="C798" s="44">
        <v>16773</v>
      </c>
      <c r="D798" s="153">
        <f t="shared" si="12"/>
        <v>1.0483125</v>
      </c>
      <c r="E798" s="43">
        <v>30972.804001250392</v>
      </c>
      <c r="F798" s="140">
        <v>0.95043418103671229</v>
      </c>
    </row>
    <row r="799" spans="1:6">
      <c r="A799" s="149" t="s">
        <v>2962</v>
      </c>
      <c r="B799" s="144" t="s">
        <v>855</v>
      </c>
      <c r="C799" s="44">
        <v>16773</v>
      </c>
      <c r="D799" s="153">
        <f t="shared" si="12"/>
        <v>1.0483125</v>
      </c>
      <c r="E799" s="43">
        <v>30972.804001250392</v>
      </c>
      <c r="F799" s="140">
        <v>0.95043418103671229</v>
      </c>
    </row>
    <row r="800" spans="1:6">
      <c r="A800" s="149" t="s">
        <v>2962</v>
      </c>
      <c r="B800" s="144" t="s">
        <v>856</v>
      </c>
      <c r="C800" s="44">
        <v>16773</v>
      </c>
      <c r="D800" s="153">
        <f t="shared" si="12"/>
        <v>1.0483125</v>
      </c>
      <c r="E800" s="43">
        <v>30972.804001250392</v>
      </c>
      <c r="F800" s="140">
        <v>0.95043418103671229</v>
      </c>
    </row>
    <row r="801" spans="1:6">
      <c r="A801" s="149" t="s">
        <v>2962</v>
      </c>
      <c r="B801" s="144" t="s">
        <v>857</v>
      </c>
      <c r="C801" s="44">
        <v>16773</v>
      </c>
      <c r="D801" s="153">
        <f t="shared" si="12"/>
        <v>1.0483125</v>
      </c>
      <c r="E801" s="43">
        <v>30972.804001250392</v>
      </c>
      <c r="F801" s="140">
        <v>0.95043418103671229</v>
      </c>
    </row>
    <row r="802" spans="1:6">
      <c r="A802" s="149" t="s">
        <v>2962</v>
      </c>
      <c r="B802" s="144" t="s">
        <v>858</v>
      </c>
      <c r="C802" s="44">
        <v>16773</v>
      </c>
      <c r="D802" s="153">
        <f t="shared" si="12"/>
        <v>1.0483125</v>
      </c>
      <c r="E802" s="43">
        <v>30972.804001250392</v>
      </c>
      <c r="F802" s="140">
        <v>0.95043418103671229</v>
      </c>
    </row>
    <row r="803" spans="1:6">
      <c r="A803" s="149" t="s">
        <v>2962</v>
      </c>
      <c r="B803" s="144" t="s">
        <v>859</v>
      </c>
      <c r="C803" s="44">
        <v>16773</v>
      </c>
      <c r="D803" s="153">
        <f t="shared" si="12"/>
        <v>1.0483125</v>
      </c>
      <c r="E803" s="43">
        <v>30972.804001250392</v>
      </c>
      <c r="F803" s="140">
        <v>0.95043418103671229</v>
      </c>
    </row>
    <row r="804" spans="1:6">
      <c r="A804" s="149" t="s">
        <v>2962</v>
      </c>
      <c r="B804" s="144" t="s">
        <v>860</v>
      </c>
      <c r="C804" s="44">
        <v>16773</v>
      </c>
      <c r="D804" s="153">
        <f t="shared" si="12"/>
        <v>1.0483125</v>
      </c>
      <c r="E804" s="43">
        <v>30972.804001250392</v>
      </c>
      <c r="F804" s="140">
        <v>0.95043418103671229</v>
      </c>
    </row>
    <row r="805" spans="1:6">
      <c r="A805" s="149" t="s">
        <v>2962</v>
      </c>
      <c r="B805" s="144" t="s">
        <v>861</v>
      </c>
      <c r="C805" s="44">
        <v>16773</v>
      </c>
      <c r="D805" s="153">
        <f t="shared" si="12"/>
        <v>1.0483125</v>
      </c>
      <c r="E805" s="43">
        <v>30972.804001250392</v>
      </c>
      <c r="F805" s="140">
        <v>0.95043418103671229</v>
      </c>
    </row>
    <row r="806" spans="1:6">
      <c r="A806" s="149" t="s">
        <v>2962</v>
      </c>
      <c r="B806" s="144" t="s">
        <v>862</v>
      </c>
      <c r="C806" s="44">
        <v>16773</v>
      </c>
      <c r="D806" s="153">
        <f t="shared" si="12"/>
        <v>1.0483125</v>
      </c>
      <c r="E806" s="43">
        <v>30972.804001250392</v>
      </c>
      <c r="F806" s="140">
        <v>0.95043418103671229</v>
      </c>
    </row>
    <row r="807" spans="1:6">
      <c r="A807" s="149" t="s">
        <v>2962</v>
      </c>
      <c r="B807" s="144" t="s">
        <v>863</v>
      </c>
      <c r="C807" s="44">
        <v>16773</v>
      </c>
      <c r="D807" s="153">
        <f t="shared" si="12"/>
        <v>1.0483125</v>
      </c>
      <c r="E807" s="43">
        <v>30972.804001250392</v>
      </c>
      <c r="F807" s="140">
        <v>0.95043418103671229</v>
      </c>
    </row>
    <row r="808" spans="1:6">
      <c r="A808" s="149" t="s">
        <v>2962</v>
      </c>
      <c r="B808" s="144" t="s">
        <v>864</v>
      </c>
      <c r="C808" s="44">
        <v>16773</v>
      </c>
      <c r="D808" s="153">
        <f t="shared" si="12"/>
        <v>1.0483125</v>
      </c>
      <c r="E808" s="43">
        <v>30972.804001250392</v>
      </c>
      <c r="F808" s="140">
        <v>0.95043418103671229</v>
      </c>
    </row>
    <row r="809" spans="1:6">
      <c r="A809" s="149" t="s">
        <v>2962</v>
      </c>
      <c r="B809" s="144" t="s">
        <v>865</v>
      </c>
      <c r="C809" s="44">
        <v>16773</v>
      </c>
      <c r="D809" s="153">
        <f t="shared" si="12"/>
        <v>1.0483125</v>
      </c>
      <c r="E809" s="43">
        <v>30972.804001250392</v>
      </c>
      <c r="F809" s="140">
        <v>0.95043418103671229</v>
      </c>
    </row>
    <row r="810" spans="1:6">
      <c r="A810" s="149" t="s">
        <v>2962</v>
      </c>
      <c r="B810" s="144" t="s">
        <v>866</v>
      </c>
      <c r="C810" s="44">
        <v>16773</v>
      </c>
      <c r="D810" s="153">
        <f t="shared" si="12"/>
        <v>1.0483125</v>
      </c>
      <c r="E810" s="43">
        <v>30972.804001250392</v>
      </c>
      <c r="F810" s="140">
        <v>0.95043418103671229</v>
      </c>
    </row>
    <row r="811" spans="1:6">
      <c r="A811" s="149" t="s">
        <v>2962</v>
      </c>
      <c r="B811" s="144" t="s">
        <v>867</v>
      </c>
      <c r="C811" s="44">
        <v>16773</v>
      </c>
      <c r="D811" s="153">
        <f t="shared" si="12"/>
        <v>1.0483125</v>
      </c>
      <c r="E811" s="43">
        <v>30972.804001250392</v>
      </c>
      <c r="F811" s="140">
        <v>0.95043418103671229</v>
      </c>
    </row>
    <row r="812" spans="1:6">
      <c r="A812" s="149" t="s">
        <v>2962</v>
      </c>
      <c r="B812" s="144" t="s">
        <v>868</v>
      </c>
      <c r="C812" s="44">
        <v>16773</v>
      </c>
      <c r="D812" s="153">
        <f t="shared" si="12"/>
        <v>1.0483125</v>
      </c>
      <c r="E812" s="43">
        <v>30972.804001250392</v>
      </c>
      <c r="F812" s="140">
        <v>0.95043418103671229</v>
      </c>
    </row>
    <row r="813" spans="1:6">
      <c r="A813" s="149" t="s">
        <v>2962</v>
      </c>
      <c r="B813" s="144" t="s">
        <v>869</v>
      </c>
      <c r="C813" s="44">
        <v>16773</v>
      </c>
      <c r="D813" s="153">
        <f t="shared" si="12"/>
        <v>1.0483125</v>
      </c>
      <c r="E813" s="43">
        <v>30972.804001250392</v>
      </c>
      <c r="F813" s="140">
        <v>0.95043418103671229</v>
      </c>
    </row>
    <row r="814" spans="1:6">
      <c r="A814" s="149" t="s">
        <v>2962</v>
      </c>
      <c r="B814" s="144" t="s">
        <v>870</v>
      </c>
      <c r="C814" s="44">
        <v>16773</v>
      </c>
      <c r="D814" s="153">
        <f t="shared" si="12"/>
        <v>1.0483125</v>
      </c>
      <c r="E814" s="43">
        <v>30972.804001250392</v>
      </c>
      <c r="F814" s="140">
        <v>0.95043418103671229</v>
      </c>
    </row>
    <row r="815" spans="1:6">
      <c r="A815" s="149" t="s">
        <v>2962</v>
      </c>
      <c r="B815" s="144" t="s">
        <v>871</v>
      </c>
      <c r="C815" s="44">
        <v>16773</v>
      </c>
      <c r="D815" s="153">
        <f t="shared" si="12"/>
        <v>1.0483125</v>
      </c>
      <c r="E815" s="43">
        <v>30972.804001250392</v>
      </c>
      <c r="F815" s="140">
        <v>0.95043418103671229</v>
      </c>
    </row>
    <row r="816" spans="1:6">
      <c r="A816" s="149" t="s">
        <v>2962</v>
      </c>
      <c r="B816" s="144" t="s">
        <v>872</v>
      </c>
      <c r="C816" s="44">
        <v>16773</v>
      </c>
      <c r="D816" s="153">
        <f t="shared" si="12"/>
        <v>1.0483125</v>
      </c>
      <c r="E816" s="43">
        <v>30972.804001250392</v>
      </c>
      <c r="F816" s="140">
        <v>0.95043418103671229</v>
      </c>
    </row>
    <row r="817" spans="1:6">
      <c r="A817" s="149" t="s">
        <v>2962</v>
      </c>
      <c r="B817" s="144" t="s">
        <v>873</v>
      </c>
      <c r="C817" s="44">
        <v>16773</v>
      </c>
      <c r="D817" s="153">
        <f t="shared" si="12"/>
        <v>1.0483125</v>
      </c>
      <c r="E817" s="43">
        <v>30972.804001250392</v>
      </c>
      <c r="F817" s="140">
        <v>0.95043418103671229</v>
      </c>
    </row>
    <row r="818" spans="1:6">
      <c r="A818" s="149" t="s">
        <v>2962</v>
      </c>
      <c r="B818" s="144" t="s">
        <v>874</v>
      </c>
      <c r="C818" s="44">
        <v>16773</v>
      </c>
      <c r="D818" s="153">
        <f t="shared" si="12"/>
        <v>1.0483125</v>
      </c>
      <c r="E818" s="43">
        <v>30972.804001250392</v>
      </c>
      <c r="F818" s="140">
        <v>0.95043418103671229</v>
      </c>
    </row>
    <row r="819" spans="1:6">
      <c r="A819" s="149" t="s">
        <v>2962</v>
      </c>
      <c r="B819" s="144" t="s">
        <v>875</v>
      </c>
      <c r="C819" s="44">
        <v>16773</v>
      </c>
      <c r="D819" s="153">
        <f t="shared" si="12"/>
        <v>1.0483125</v>
      </c>
      <c r="E819" s="43">
        <v>30972.804001250392</v>
      </c>
      <c r="F819" s="140">
        <v>0.95043418103671229</v>
      </c>
    </row>
    <row r="820" spans="1:6">
      <c r="A820" s="149" t="s">
        <v>2962</v>
      </c>
      <c r="B820" s="144" t="s">
        <v>876</v>
      </c>
      <c r="C820" s="44">
        <v>16773</v>
      </c>
      <c r="D820" s="153">
        <f t="shared" si="12"/>
        <v>1.0483125</v>
      </c>
      <c r="E820" s="43">
        <v>30972.804001250392</v>
      </c>
      <c r="F820" s="140">
        <v>0.95043418103671229</v>
      </c>
    </row>
    <row r="821" spans="1:6">
      <c r="A821" s="149" t="s">
        <v>2962</v>
      </c>
      <c r="B821" s="144" t="s">
        <v>877</v>
      </c>
      <c r="C821" s="44">
        <v>16773</v>
      </c>
      <c r="D821" s="153">
        <f t="shared" si="12"/>
        <v>1.0483125</v>
      </c>
      <c r="E821" s="43">
        <v>30972.804001250392</v>
      </c>
      <c r="F821" s="140">
        <v>0.95043418103671229</v>
      </c>
    </row>
    <row r="822" spans="1:6">
      <c r="A822" s="149" t="s">
        <v>2962</v>
      </c>
      <c r="B822" s="144" t="s">
        <v>878</v>
      </c>
      <c r="C822" s="44">
        <v>16773</v>
      </c>
      <c r="D822" s="153">
        <f t="shared" si="12"/>
        <v>1.0483125</v>
      </c>
      <c r="E822" s="43">
        <v>30972.804001250392</v>
      </c>
      <c r="F822" s="140">
        <v>0.95043418103671229</v>
      </c>
    </row>
    <row r="823" spans="1:6">
      <c r="A823" s="149" t="s">
        <v>2962</v>
      </c>
      <c r="B823" s="144" t="s">
        <v>879</v>
      </c>
      <c r="C823" s="44">
        <v>16773</v>
      </c>
      <c r="D823" s="153">
        <f t="shared" si="12"/>
        <v>1.0483125</v>
      </c>
      <c r="E823" s="43">
        <v>30972.804001250392</v>
      </c>
      <c r="F823" s="140">
        <v>0.95043418103671229</v>
      </c>
    </row>
    <row r="824" spans="1:6">
      <c r="A824" s="149" t="s">
        <v>2962</v>
      </c>
      <c r="B824" s="144" t="s">
        <v>880</v>
      </c>
      <c r="C824" s="44">
        <v>16773</v>
      </c>
      <c r="D824" s="153">
        <f t="shared" si="12"/>
        <v>1.0483125</v>
      </c>
      <c r="E824" s="43">
        <v>30972.804001250392</v>
      </c>
      <c r="F824" s="140">
        <v>0.95043418103671229</v>
      </c>
    </row>
    <row r="825" spans="1:6">
      <c r="A825" s="149" t="s">
        <v>2962</v>
      </c>
      <c r="B825" s="144" t="s">
        <v>881</v>
      </c>
      <c r="C825" s="44">
        <v>16773</v>
      </c>
      <c r="D825" s="153">
        <f t="shared" si="12"/>
        <v>1.0483125</v>
      </c>
      <c r="E825" s="43">
        <v>30972.804001250392</v>
      </c>
      <c r="F825" s="140">
        <v>0.95043418103671229</v>
      </c>
    </row>
    <row r="826" spans="1:6">
      <c r="A826" s="149" t="s">
        <v>2962</v>
      </c>
      <c r="B826" s="144" t="s">
        <v>882</v>
      </c>
      <c r="C826" s="44">
        <v>16773</v>
      </c>
      <c r="D826" s="153">
        <f t="shared" si="12"/>
        <v>1.0483125</v>
      </c>
      <c r="E826" s="43">
        <v>30972.804001250392</v>
      </c>
      <c r="F826" s="140">
        <v>0.95043418103671229</v>
      </c>
    </row>
    <row r="827" spans="1:6">
      <c r="A827" s="149" t="s">
        <v>2962</v>
      </c>
      <c r="B827" s="144" t="s">
        <v>883</v>
      </c>
      <c r="C827" s="44">
        <v>16773</v>
      </c>
      <c r="D827" s="153">
        <f t="shared" si="12"/>
        <v>1.0483125</v>
      </c>
      <c r="E827" s="43">
        <v>30972.804001250392</v>
      </c>
      <c r="F827" s="140">
        <v>0.95043418103671229</v>
      </c>
    </row>
    <row r="828" spans="1:6">
      <c r="A828" s="149" t="s">
        <v>2962</v>
      </c>
      <c r="B828" s="144" t="s">
        <v>884</v>
      </c>
      <c r="C828" s="44">
        <v>16773</v>
      </c>
      <c r="D828" s="153">
        <f t="shared" si="12"/>
        <v>1.0483125</v>
      </c>
      <c r="E828" s="43">
        <v>30972.804001250392</v>
      </c>
      <c r="F828" s="140">
        <v>0.95043418103671229</v>
      </c>
    </row>
    <row r="829" spans="1:6">
      <c r="A829" s="149" t="s">
        <v>2962</v>
      </c>
      <c r="B829" s="144" t="s">
        <v>885</v>
      </c>
      <c r="C829" s="44">
        <v>16773</v>
      </c>
      <c r="D829" s="153">
        <f t="shared" si="12"/>
        <v>1.0483125</v>
      </c>
      <c r="E829" s="43">
        <v>30972.804001250392</v>
      </c>
      <c r="F829" s="140">
        <v>0.95043418103671229</v>
      </c>
    </row>
    <row r="830" spans="1:6">
      <c r="A830" s="149" t="s">
        <v>2962</v>
      </c>
      <c r="B830" s="144" t="s">
        <v>886</v>
      </c>
      <c r="C830" s="44">
        <v>16773</v>
      </c>
      <c r="D830" s="153">
        <f t="shared" si="12"/>
        <v>1.0483125</v>
      </c>
      <c r="E830" s="43">
        <v>30972.804001250392</v>
      </c>
      <c r="F830" s="140">
        <v>0.95043418103671229</v>
      </c>
    </row>
    <row r="831" spans="1:6">
      <c r="A831" s="149" t="s">
        <v>2962</v>
      </c>
      <c r="B831" s="144" t="s">
        <v>887</v>
      </c>
      <c r="C831" s="44">
        <v>16773</v>
      </c>
      <c r="D831" s="153">
        <f t="shared" si="12"/>
        <v>1.0483125</v>
      </c>
      <c r="E831" s="43">
        <v>30972.804001250392</v>
      </c>
      <c r="F831" s="140">
        <v>0.95043418103671229</v>
      </c>
    </row>
    <row r="832" spans="1:6">
      <c r="A832" s="149" t="s">
        <v>2962</v>
      </c>
      <c r="B832" s="144" t="s">
        <v>888</v>
      </c>
      <c r="C832" s="44">
        <v>16773</v>
      </c>
      <c r="D832" s="153">
        <f t="shared" si="12"/>
        <v>1.0483125</v>
      </c>
      <c r="E832" s="43">
        <v>30972.804001250392</v>
      </c>
      <c r="F832" s="140">
        <v>0.95043418103671229</v>
      </c>
    </row>
    <row r="833" spans="1:6">
      <c r="A833" s="149" t="s">
        <v>2962</v>
      </c>
      <c r="B833" s="144" t="s">
        <v>889</v>
      </c>
      <c r="C833" s="44">
        <v>16773</v>
      </c>
      <c r="D833" s="153">
        <f t="shared" si="12"/>
        <v>1.0483125</v>
      </c>
      <c r="E833" s="43">
        <v>30972.804001250392</v>
      </c>
      <c r="F833" s="140">
        <v>0.95043418103671229</v>
      </c>
    </row>
    <row r="834" spans="1:6">
      <c r="A834" s="149" t="s">
        <v>2962</v>
      </c>
      <c r="B834" s="144" t="s">
        <v>890</v>
      </c>
      <c r="C834" s="44">
        <v>16773</v>
      </c>
      <c r="D834" s="153">
        <f t="shared" si="12"/>
        <v>1.0483125</v>
      </c>
      <c r="E834" s="43">
        <v>30972.804001250392</v>
      </c>
      <c r="F834" s="140">
        <v>0.95043418103671229</v>
      </c>
    </row>
    <row r="835" spans="1:6">
      <c r="A835" s="149" t="s">
        <v>2962</v>
      </c>
      <c r="B835" s="144" t="s">
        <v>891</v>
      </c>
      <c r="C835" s="44">
        <v>16773</v>
      </c>
      <c r="D835" s="153">
        <f t="shared" si="12"/>
        <v>1.0483125</v>
      </c>
      <c r="E835" s="43">
        <v>30972.804001250392</v>
      </c>
      <c r="F835" s="140">
        <v>0.95043418103671229</v>
      </c>
    </row>
    <row r="836" spans="1:6">
      <c r="A836" s="149" t="s">
        <v>2962</v>
      </c>
      <c r="B836" s="144" t="s">
        <v>892</v>
      </c>
      <c r="C836" s="44">
        <v>16773</v>
      </c>
      <c r="D836" s="153">
        <f t="shared" si="12"/>
        <v>1.0483125</v>
      </c>
      <c r="E836" s="43">
        <v>30972.804001250392</v>
      </c>
      <c r="F836" s="140">
        <v>0.95043418103671229</v>
      </c>
    </row>
    <row r="837" spans="1:6">
      <c r="A837" s="149" t="s">
        <v>2962</v>
      </c>
      <c r="B837" s="144" t="s">
        <v>893</v>
      </c>
      <c r="C837" s="44">
        <v>16773</v>
      </c>
      <c r="D837" s="153">
        <f t="shared" si="12"/>
        <v>1.0483125</v>
      </c>
      <c r="E837" s="43">
        <v>30972.804001250392</v>
      </c>
      <c r="F837" s="140">
        <v>0.95043418103671229</v>
      </c>
    </row>
    <row r="838" spans="1:6">
      <c r="A838" s="149" t="s">
        <v>2962</v>
      </c>
      <c r="B838" s="144" t="s">
        <v>894</v>
      </c>
      <c r="C838" s="44">
        <v>16773</v>
      </c>
      <c r="D838" s="153">
        <f t="shared" si="12"/>
        <v>1.0483125</v>
      </c>
      <c r="E838" s="43">
        <v>30972.804001250392</v>
      </c>
      <c r="F838" s="140">
        <v>0.95043418103671229</v>
      </c>
    </row>
    <row r="839" spans="1:6">
      <c r="A839" s="149" t="s">
        <v>2962</v>
      </c>
      <c r="B839" s="144" t="s">
        <v>895</v>
      </c>
      <c r="C839" s="44">
        <v>16773</v>
      </c>
      <c r="D839" s="153">
        <f t="shared" ref="D839:D902" si="13">C839/32768*4.096/2</f>
        <v>1.0483125</v>
      </c>
      <c r="E839" s="43">
        <v>30972.804001250392</v>
      </c>
      <c r="F839" s="140">
        <v>0.95043418103671229</v>
      </c>
    </row>
    <row r="840" spans="1:6">
      <c r="A840" s="149" t="s">
        <v>2962</v>
      </c>
      <c r="B840" s="144" t="s">
        <v>896</v>
      </c>
      <c r="C840" s="44">
        <v>16773</v>
      </c>
      <c r="D840" s="153">
        <f t="shared" si="13"/>
        <v>1.0483125</v>
      </c>
      <c r="E840" s="43">
        <v>30972.804001250392</v>
      </c>
      <c r="F840" s="140">
        <v>0.95043418103671229</v>
      </c>
    </row>
    <row r="841" spans="1:6">
      <c r="A841" s="149" t="s">
        <v>2962</v>
      </c>
      <c r="B841" s="144" t="s">
        <v>897</v>
      </c>
      <c r="C841" s="44">
        <v>16773</v>
      </c>
      <c r="D841" s="153">
        <f t="shared" si="13"/>
        <v>1.0483125</v>
      </c>
      <c r="E841" s="43">
        <v>30972.804001250392</v>
      </c>
      <c r="F841" s="140">
        <v>0.95043418103671229</v>
      </c>
    </row>
    <row r="842" spans="1:6">
      <c r="A842" s="149" t="s">
        <v>2962</v>
      </c>
      <c r="B842" s="144" t="s">
        <v>898</v>
      </c>
      <c r="C842" s="44">
        <v>16773</v>
      </c>
      <c r="D842" s="153">
        <f t="shared" si="13"/>
        <v>1.0483125</v>
      </c>
      <c r="E842" s="43">
        <v>30972.804001250392</v>
      </c>
      <c r="F842" s="140">
        <v>0.95043418103671229</v>
      </c>
    </row>
    <row r="843" spans="1:6">
      <c r="A843" s="149" t="s">
        <v>2962</v>
      </c>
      <c r="B843" s="144" t="s">
        <v>899</v>
      </c>
      <c r="C843" s="44">
        <v>16773</v>
      </c>
      <c r="D843" s="153">
        <f t="shared" si="13"/>
        <v>1.0483125</v>
      </c>
      <c r="E843" s="43">
        <v>30972.804001250392</v>
      </c>
      <c r="F843" s="140">
        <v>0.95043418103671229</v>
      </c>
    </row>
    <row r="844" spans="1:6">
      <c r="A844" s="149" t="s">
        <v>2962</v>
      </c>
      <c r="B844" s="144" t="s">
        <v>900</v>
      </c>
      <c r="C844" s="44">
        <v>16773</v>
      </c>
      <c r="D844" s="153">
        <f t="shared" si="13"/>
        <v>1.0483125</v>
      </c>
      <c r="E844" s="43">
        <v>30972.804001250392</v>
      </c>
      <c r="F844" s="140">
        <v>0.95043418103671229</v>
      </c>
    </row>
    <row r="845" spans="1:6">
      <c r="A845" s="149" t="s">
        <v>2962</v>
      </c>
      <c r="B845" s="144" t="s">
        <v>901</v>
      </c>
      <c r="C845" s="44">
        <v>16773</v>
      </c>
      <c r="D845" s="153">
        <f t="shared" si="13"/>
        <v>1.0483125</v>
      </c>
      <c r="E845" s="43">
        <v>30972.804001250392</v>
      </c>
      <c r="F845" s="140">
        <v>0.95043418103671229</v>
      </c>
    </row>
    <row r="846" spans="1:6">
      <c r="A846" s="149" t="s">
        <v>2962</v>
      </c>
      <c r="B846" s="144" t="s">
        <v>902</v>
      </c>
      <c r="C846" s="44">
        <v>16773</v>
      </c>
      <c r="D846" s="153">
        <f t="shared" si="13"/>
        <v>1.0483125</v>
      </c>
      <c r="E846" s="43">
        <v>30972.804001250392</v>
      </c>
      <c r="F846" s="140">
        <v>0.95043418103671229</v>
      </c>
    </row>
    <row r="847" spans="1:6">
      <c r="A847" s="149" t="s">
        <v>2962</v>
      </c>
      <c r="B847" s="144" t="s">
        <v>903</v>
      </c>
      <c r="C847" s="44">
        <v>16773</v>
      </c>
      <c r="D847" s="153">
        <f t="shared" si="13"/>
        <v>1.0483125</v>
      </c>
      <c r="E847" s="43">
        <v>30972.804001250392</v>
      </c>
      <c r="F847" s="140">
        <v>0.95043418103671229</v>
      </c>
    </row>
    <row r="848" spans="1:6">
      <c r="A848" s="149" t="s">
        <v>2962</v>
      </c>
      <c r="B848" s="144" t="s">
        <v>904</v>
      </c>
      <c r="C848" s="44">
        <v>16773</v>
      </c>
      <c r="D848" s="153">
        <f t="shared" si="13"/>
        <v>1.0483125</v>
      </c>
      <c r="E848" s="43">
        <v>30972.804001250392</v>
      </c>
      <c r="F848" s="140">
        <v>0.95043418103671229</v>
      </c>
    </row>
    <row r="849" spans="1:6">
      <c r="A849" s="149" t="s">
        <v>2962</v>
      </c>
      <c r="B849" s="144" t="s">
        <v>905</v>
      </c>
      <c r="C849" s="44">
        <v>16773</v>
      </c>
      <c r="D849" s="153">
        <f t="shared" si="13"/>
        <v>1.0483125</v>
      </c>
      <c r="E849" s="43">
        <v>30972.804001250392</v>
      </c>
      <c r="F849" s="140">
        <v>0.95043418103671229</v>
      </c>
    </row>
    <row r="850" spans="1:6">
      <c r="A850" s="149" t="s">
        <v>2962</v>
      </c>
      <c r="B850" s="144" t="s">
        <v>906</v>
      </c>
      <c r="C850" s="44">
        <v>16773</v>
      </c>
      <c r="D850" s="153">
        <f t="shared" si="13"/>
        <v>1.0483125</v>
      </c>
      <c r="E850" s="43">
        <v>30972.804001250392</v>
      </c>
      <c r="F850" s="140">
        <v>0.95043418103671229</v>
      </c>
    </row>
    <row r="851" spans="1:6">
      <c r="A851" s="149" t="s">
        <v>2962</v>
      </c>
      <c r="B851" s="144" t="s">
        <v>907</v>
      </c>
      <c r="C851" s="44">
        <v>16773</v>
      </c>
      <c r="D851" s="153">
        <f t="shared" si="13"/>
        <v>1.0483125</v>
      </c>
      <c r="E851" s="43">
        <v>30972.804001250392</v>
      </c>
      <c r="F851" s="140">
        <v>0.95043418103671229</v>
      </c>
    </row>
    <row r="852" spans="1:6">
      <c r="A852" s="149" t="s">
        <v>2962</v>
      </c>
      <c r="B852" s="144" t="s">
        <v>908</v>
      </c>
      <c r="C852" s="44">
        <v>16773</v>
      </c>
      <c r="D852" s="153">
        <f t="shared" si="13"/>
        <v>1.0483125</v>
      </c>
      <c r="E852" s="43">
        <v>30972.804001250392</v>
      </c>
      <c r="F852" s="140">
        <v>0.95043418103671229</v>
      </c>
    </row>
    <row r="853" spans="1:6">
      <c r="A853" s="149" t="s">
        <v>2962</v>
      </c>
      <c r="B853" s="144" t="s">
        <v>909</v>
      </c>
      <c r="C853" s="44">
        <v>16773</v>
      </c>
      <c r="D853" s="153">
        <f t="shared" si="13"/>
        <v>1.0483125</v>
      </c>
      <c r="E853" s="43">
        <v>30972.804001250392</v>
      </c>
      <c r="F853" s="140">
        <v>0.95043418103671229</v>
      </c>
    </row>
    <row r="854" spans="1:6">
      <c r="A854" s="149" t="s">
        <v>2962</v>
      </c>
      <c r="B854" s="144" t="s">
        <v>910</v>
      </c>
      <c r="C854" s="44">
        <v>16773</v>
      </c>
      <c r="D854" s="153">
        <f t="shared" si="13"/>
        <v>1.0483125</v>
      </c>
      <c r="E854" s="43">
        <v>30972.804001250392</v>
      </c>
      <c r="F854" s="140">
        <v>0.95043418103671229</v>
      </c>
    </row>
    <row r="855" spans="1:6">
      <c r="A855" s="149" t="s">
        <v>2962</v>
      </c>
      <c r="B855" s="144" t="s">
        <v>911</v>
      </c>
      <c r="C855" s="44">
        <v>16773</v>
      </c>
      <c r="D855" s="153">
        <f t="shared" si="13"/>
        <v>1.0483125</v>
      </c>
      <c r="E855" s="43">
        <v>30972.804001250392</v>
      </c>
      <c r="F855" s="140">
        <v>0.95043418103671229</v>
      </c>
    </row>
    <row r="856" spans="1:6">
      <c r="A856" s="149" t="s">
        <v>2962</v>
      </c>
      <c r="B856" s="144" t="s">
        <v>912</v>
      </c>
      <c r="C856" s="44">
        <v>16773</v>
      </c>
      <c r="D856" s="153">
        <f t="shared" si="13"/>
        <v>1.0483125</v>
      </c>
      <c r="E856" s="43">
        <v>30972.804001250392</v>
      </c>
      <c r="F856" s="140">
        <v>0.95043418103671229</v>
      </c>
    </row>
    <row r="857" spans="1:6">
      <c r="A857" s="149" t="s">
        <v>2962</v>
      </c>
      <c r="B857" s="144" t="s">
        <v>913</v>
      </c>
      <c r="C857" s="44">
        <v>16773</v>
      </c>
      <c r="D857" s="153">
        <f t="shared" si="13"/>
        <v>1.0483125</v>
      </c>
      <c r="E857" s="43">
        <v>30972.804001250392</v>
      </c>
      <c r="F857" s="140">
        <v>0.95043418103671229</v>
      </c>
    </row>
    <row r="858" spans="1:6">
      <c r="A858" s="149" t="s">
        <v>2962</v>
      </c>
      <c r="B858" s="144" t="s">
        <v>914</v>
      </c>
      <c r="C858" s="44">
        <v>16773</v>
      </c>
      <c r="D858" s="153">
        <f t="shared" si="13"/>
        <v>1.0483125</v>
      </c>
      <c r="E858" s="43">
        <v>30972.804001250392</v>
      </c>
      <c r="F858" s="140">
        <v>0.95043418103671229</v>
      </c>
    </row>
    <row r="859" spans="1:6">
      <c r="A859" s="149" t="s">
        <v>2962</v>
      </c>
      <c r="B859" s="144" t="s">
        <v>915</v>
      </c>
      <c r="C859" s="44">
        <v>16773</v>
      </c>
      <c r="D859" s="153">
        <f t="shared" si="13"/>
        <v>1.0483125</v>
      </c>
      <c r="E859" s="43">
        <v>30972.804001250392</v>
      </c>
      <c r="F859" s="140">
        <v>0.95043418103671229</v>
      </c>
    </row>
    <row r="860" spans="1:6">
      <c r="A860" s="149" t="s">
        <v>2962</v>
      </c>
      <c r="B860" s="144" t="s">
        <v>916</v>
      </c>
      <c r="C860" s="44">
        <v>16773</v>
      </c>
      <c r="D860" s="153">
        <f t="shared" si="13"/>
        <v>1.0483125</v>
      </c>
      <c r="E860" s="43">
        <v>30972.804001250392</v>
      </c>
      <c r="F860" s="140">
        <v>0.95043418103671229</v>
      </c>
    </row>
    <row r="861" spans="1:6">
      <c r="A861" s="149" t="s">
        <v>2962</v>
      </c>
      <c r="B861" s="144" t="s">
        <v>917</v>
      </c>
      <c r="C861" s="44">
        <v>16773</v>
      </c>
      <c r="D861" s="153">
        <f t="shared" si="13"/>
        <v>1.0483125</v>
      </c>
      <c r="E861" s="43">
        <v>30972.804001250392</v>
      </c>
      <c r="F861" s="140">
        <v>0.95043418103671229</v>
      </c>
    </row>
    <row r="862" spans="1:6">
      <c r="A862" s="149" t="s">
        <v>2962</v>
      </c>
      <c r="B862" s="144" t="s">
        <v>918</v>
      </c>
      <c r="C862" s="44">
        <v>16773</v>
      </c>
      <c r="D862" s="153">
        <f t="shared" si="13"/>
        <v>1.0483125</v>
      </c>
      <c r="E862" s="43">
        <v>30972.804001250392</v>
      </c>
      <c r="F862" s="140">
        <v>0.95043418103671229</v>
      </c>
    </row>
    <row r="863" spans="1:6">
      <c r="A863" s="149" t="s">
        <v>2962</v>
      </c>
      <c r="B863" s="144" t="s">
        <v>919</v>
      </c>
      <c r="C863" s="44">
        <v>16773</v>
      </c>
      <c r="D863" s="153">
        <f t="shared" si="13"/>
        <v>1.0483125</v>
      </c>
      <c r="E863" s="43">
        <v>30972.804001250392</v>
      </c>
      <c r="F863" s="140">
        <v>0.95043418103671229</v>
      </c>
    </row>
    <row r="864" spans="1:6">
      <c r="A864" s="149" t="s">
        <v>2962</v>
      </c>
      <c r="B864" s="144" t="s">
        <v>920</v>
      </c>
      <c r="C864" s="44">
        <v>16773</v>
      </c>
      <c r="D864" s="153">
        <f t="shared" si="13"/>
        <v>1.0483125</v>
      </c>
      <c r="E864" s="43">
        <v>30972.804001250392</v>
      </c>
      <c r="F864" s="140">
        <v>0.95043418103671229</v>
      </c>
    </row>
    <row r="865" spans="1:6">
      <c r="A865" s="149" t="s">
        <v>2962</v>
      </c>
      <c r="B865" s="144" t="s">
        <v>921</v>
      </c>
      <c r="C865" s="44">
        <v>16773</v>
      </c>
      <c r="D865" s="153">
        <f t="shared" si="13"/>
        <v>1.0483125</v>
      </c>
      <c r="E865" s="43">
        <v>30972.804001250392</v>
      </c>
      <c r="F865" s="140">
        <v>0.95043418103671229</v>
      </c>
    </row>
    <row r="866" spans="1:6">
      <c r="A866" s="149" t="s">
        <v>2962</v>
      </c>
      <c r="B866" s="144" t="s">
        <v>922</v>
      </c>
      <c r="C866" s="44">
        <v>16773</v>
      </c>
      <c r="D866" s="153">
        <f t="shared" si="13"/>
        <v>1.0483125</v>
      </c>
      <c r="E866" s="43">
        <v>30972.804001250392</v>
      </c>
      <c r="F866" s="140">
        <v>0.95043418103671229</v>
      </c>
    </row>
    <row r="867" spans="1:6">
      <c r="A867" s="149" t="s">
        <v>2962</v>
      </c>
      <c r="B867" s="144" t="s">
        <v>923</v>
      </c>
      <c r="C867" s="44">
        <v>16773</v>
      </c>
      <c r="D867" s="153">
        <f t="shared" si="13"/>
        <v>1.0483125</v>
      </c>
      <c r="E867" s="43">
        <v>30972.804001250392</v>
      </c>
      <c r="F867" s="140">
        <v>0.95043418103671229</v>
      </c>
    </row>
    <row r="868" spans="1:6">
      <c r="A868" s="149" t="s">
        <v>2962</v>
      </c>
      <c r="B868" s="144" t="s">
        <v>924</v>
      </c>
      <c r="C868" s="44">
        <v>16773</v>
      </c>
      <c r="D868" s="153">
        <f t="shared" si="13"/>
        <v>1.0483125</v>
      </c>
      <c r="E868" s="43">
        <v>30972.804001250392</v>
      </c>
      <c r="F868" s="140">
        <v>0.95043418103671229</v>
      </c>
    </row>
    <row r="869" spans="1:6">
      <c r="A869" s="149" t="s">
        <v>2962</v>
      </c>
      <c r="B869" s="144" t="s">
        <v>925</v>
      </c>
      <c r="C869" s="44">
        <v>16773</v>
      </c>
      <c r="D869" s="153">
        <f t="shared" si="13"/>
        <v>1.0483125</v>
      </c>
      <c r="E869" s="43">
        <v>30972.804001250392</v>
      </c>
      <c r="F869" s="140">
        <v>0.95043418103671229</v>
      </c>
    </row>
    <row r="870" spans="1:6">
      <c r="A870" s="149" t="s">
        <v>2962</v>
      </c>
      <c r="B870" s="144" t="s">
        <v>926</v>
      </c>
      <c r="C870" s="44">
        <v>16773</v>
      </c>
      <c r="D870" s="153">
        <f t="shared" si="13"/>
        <v>1.0483125</v>
      </c>
      <c r="E870" s="43">
        <v>30972.804001250392</v>
      </c>
      <c r="F870" s="140">
        <v>0.95043418103671229</v>
      </c>
    </row>
    <row r="871" spans="1:6">
      <c r="A871" s="149" t="s">
        <v>2962</v>
      </c>
      <c r="B871" s="144" t="s">
        <v>927</v>
      </c>
      <c r="C871" s="44">
        <v>16773</v>
      </c>
      <c r="D871" s="153">
        <f t="shared" si="13"/>
        <v>1.0483125</v>
      </c>
      <c r="E871" s="43">
        <v>30972.804001250392</v>
      </c>
      <c r="F871" s="140">
        <v>0.95043418103671229</v>
      </c>
    </row>
    <row r="872" spans="1:6">
      <c r="A872" s="149" t="s">
        <v>2962</v>
      </c>
      <c r="B872" s="144" t="s">
        <v>928</v>
      </c>
      <c r="C872" s="44">
        <v>16773</v>
      </c>
      <c r="D872" s="153">
        <f t="shared" si="13"/>
        <v>1.0483125</v>
      </c>
      <c r="E872" s="43">
        <v>30972.804001250392</v>
      </c>
      <c r="F872" s="140">
        <v>0.95043418103671229</v>
      </c>
    </row>
    <row r="873" spans="1:6">
      <c r="A873" s="149" t="s">
        <v>2962</v>
      </c>
      <c r="B873" s="144" t="s">
        <v>929</v>
      </c>
      <c r="C873" s="44">
        <v>16773</v>
      </c>
      <c r="D873" s="153">
        <f t="shared" si="13"/>
        <v>1.0483125</v>
      </c>
      <c r="E873" s="43">
        <v>30972.804001250392</v>
      </c>
      <c r="F873" s="140">
        <v>0.95043418103671229</v>
      </c>
    </row>
    <row r="874" spans="1:6">
      <c r="A874" s="149" t="s">
        <v>2962</v>
      </c>
      <c r="B874" s="144" t="s">
        <v>930</v>
      </c>
      <c r="C874" s="44">
        <v>16773</v>
      </c>
      <c r="D874" s="153">
        <f t="shared" si="13"/>
        <v>1.0483125</v>
      </c>
      <c r="E874" s="43">
        <v>30972.804001250392</v>
      </c>
      <c r="F874" s="140">
        <v>0.95043418103671229</v>
      </c>
    </row>
    <row r="875" spans="1:6">
      <c r="A875" s="149" t="s">
        <v>2962</v>
      </c>
      <c r="B875" s="144" t="s">
        <v>931</v>
      </c>
      <c r="C875" s="44">
        <v>16773</v>
      </c>
      <c r="D875" s="153">
        <f t="shared" si="13"/>
        <v>1.0483125</v>
      </c>
      <c r="E875" s="43">
        <v>30972.804001250392</v>
      </c>
      <c r="F875" s="140">
        <v>0.95043418103671229</v>
      </c>
    </row>
    <row r="876" spans="1:6">
      <c r="A876" s="149" t="s">
        <v>2962</v>
      </c>
      <c r="B876" s="144" t="s">
        <v>932</v>
      </c>
      <c r="C876" s="44">
        <v>16773</v>
      </c>
      <c r="D876" s="153">
        <f t="shared" si="13"/>
        <v>1.0483125</v>
      </c>
      <c r="E876" s="43">
        <v>30972.804001250392</v>
      </c>
      <c r="F876" s="140">
        <v>0.95043418103671229</v>
      </c>
    </row>
    <row r="877" spans="1:6">
      <c r="A877" s="149" t="s">
        <v>2962</v>
      </c>
      <c r="B877" s="144" t="s">
        <v>933</v>
      </c>
      <c r="C877" s="44">
        <v>16773</v>
      </c>
      <c r="D877" s="153">
        <f t="shared" si="13"/>
        <v>1.0483125</v>
      </c>
      <c r="E877" s="43">
        <v>30972.804001250392</v>
      </c>
      <c r="F877" s="140">
        <v>0.95043418103671229</v>
      </c>
    </row>
    <row r="878" spans="1:6">
      <c r="A878" s="149" t="s">
        <v>2962</v>
      </c>
      <c r="B878" s="144" t="s">
        <v>934</v>
      </c>
      <c r="C878" s="44">
        <v>16773</v>
      </c>
      <c r="D878" s="153">
        <f t="shared" si="13"/>
        <v>1.0483125</v>
      </c>
      <c r="E878" s="43">
        <v>30972.804001250392</v>
      </c>
      <c r="F878" s="140">
        <v>0.95043418103671229</v>
      </c>
    </row>
    <row r="879" spans="1:6">
      <c r="A879" s="149" t="s">
        <v>2962</v>
      </c>
      <c r="B879" s="144" t="s">
        <v>935</v>
      </c>
      <c r="C879" s="44">
        <v>16773</v>
      </c>
      <c r="D879" s="153">
        <f t="shared" si="13"/>
        <v>1.0483125</v>
      </c>
      <c r="E879" s="43">
        <v>30972.804001250392</v>
      </c>
      <c r="F879" s="140">
        <v>0.95043418103671229</v>
      </c>
    </row>
    <row r="880" spans="1:6">
      <c r="A880" s="149" t="s">
        <v>2962</v>
      </c>
      <c r="B880" s="144" t="s">
        <v>936</v>
      </c>
      <c r="C880" s="44">
        <v>16773</v>
      </c>
      <c r="D880" s="153">
        <f t="shared" si="13"/>
        <v>1.0483125</v>
      </c>
      <c r="E880" s="43">
        <v>30972.804001250392</v>
      </c>
      <c r="F880" s="140">
        <v>0.95043418103671229</v>
      </c>
    </row>
    <row r="881" spans="1:6">
      <c r="A881" s="149" t="s">
        <v>2962</v>
      </c>
      <c r="B881" s="144" t="s">
        <v>937</v>
      </c>
      <c r="C881" s="44">
        <v>16773</v>
      </c>
      <c r="D881" s="153">
        <f t="shared" si="13"/>
        <v>1.0483125</v>
      </c>
      <c r="E881" s="43">
        <v>30972.804001250392</v>
      </c>
      <c r="F881" s="140">
        <v>0.95043418103671229</v>
      </c>
    </row>
    <row r="882" spans="1:6">
      <c r="A882" s="149" t="s">
        <v>2962</v>
      </c>
      <c r="B882" s="144" t="s">
        <v>938</v>
      </c>
      <c r="C882" s="44">
        <v>16773</v>
      </c>
      <c r="D882" s="153">
        <f t="shared" si="13"/>
        <v>1.0483125</v>
      </c>
      <c r="E882" s="43">
        <v>30972.804001250392</v>
      </c>
      <c r="F882" s="140">
        <v>0.95043418103671229</v>
      </c>
    </row>
    <row r="883" spans="1:6">
      <c r="A883" s="149" t="s">
        <v>2962</v>
      </c>
      <c r="B883" s="144" t="s">
        <v>939</v>
      </c>
      <c r="C883" s="44">
        <v>16773</v>
      </c>
      <c r="D883" s="153">
        <f t="shared" si="13"/>
        <v>1.0483125</v>
      </c>
      <c r="E883" s="43">
        <v>30972.804001250392</v>
      </c>
      <c r="F883" s="140">
        <v>0.95043418103671229</v>
      </c>
    </row>
    <row r="884" spans="1:6">
      <c r="A884" s="149" t="s">
        <v>2962</v>
      </c>
      <c r="B884" s="144" t="s">
        <v>940</v>
      </c>
      <c r="C884" s="44">
        <v>16773</v>
      </c>
      <c r="D884" s="153">
        <f t="shared" si="13"/>
        <v>1.0483125</v>
      </c>
      <c r="E884" s="43">
        <v>30972.804001250392</v>
      </c>
      <c r="F884" s="140">
        <v>0.95043418103671229</v>
      </c>
    </row>
    <row r="885" spans="1:6">
      <c r="A885" s="149" t="s">
        <v>2962</v>
      </c>
      <c r="B885" s="144" t="s">
        <v>941</v>
      </c>
      <c r="C885" s="44">
        <v>16773</v>
      </c>
      <c r="D885" s="153">
        <f t="shared" si="13"/>
        <v>1.0483125</v>
      </c>
      <c r="E885" s="43">
        <v>30972.804001250392</v>
      </c>
      <c r="F885" s="140">
        <v>0.95043418103671229</v>
      </c>
    </row>
    <row r="886" spans="1:6">
      <c r="A886" s="149" t="s">
        <v>2962</v>
      </c>
      <c r="B886" s="144" t="s">
        <v>942</v>
      </c>
      <c r="C886" s="44">
        <v>16773</v>
      </c>
      <c r="D886" s="153">
        <f t="shared" si="13"/>
        <v>1.0483125</v>
      </c>
      <c r="E886" s="43">
        <v>30972.804001250392</v>
      </c>
      <c r="F886" s="140">
        <v>0.95043418103671229</v>
      </c>
    </row>
    <row r="887" spans="1:6">
      <c r="A887" s="149" t="s">
        <v>2962</v>
      </c>
      <c r="B887" s="144" t="s">
        <v>943</v>
      </c>
      <c r="C887" s="44">
        <v>16773</v>
      </c>
      <c r="D887" s="153">
        <f t="shared" si="13"/>
        <v>1.0483125</v>
      </c>
      <c r="E887" s="43">
        <v>30972.804001250392</v>
      </c>
      <c r="F887" s="140">
        <v>0.95043418103671229</v>
      </c>
    </row>
    <row r="888" spans="1:6">
      <c r="A888" s="149" t="s">
        <v>2962</v>
      </c>
      <c r="B888" s="144" t="s">
        <v>944</v>
      </c>
      <c r="C888" s="44">
        <v>16773</v>
      </c>
      <c r="D888" s="153">
        <f t="shared" si="13"/>
        <v>1.0483125</v>
      </c>
      <c r="E888" s="43">
        <v>30972.804001250392</v>
      </c>
      <c r="F888" s="140">
        <v>0.95043418103671229</v>
      </c>
    </row>
    <row r="889" spans="1:6">
      <c r="A889" s="149" t="s">
        <v>2962</v>
      </c>
      <c r="B889" s="144" t="s">
        <v>945</v>
      </c>
      <c r="C889" s="44">
        <v>16773</v>
      </c>
      <c r="D889" s="153">
        <f t="shared" si="13"/>
        <v>1.0483125</v>
      </c>
      <c r="E889" s="43">
        <v>30972.804001250392</v>
      </c>
      <c r="F889" s="140">
        <v>0.95043418103671229</v>
      </c>
    </row>
    <row r="890" spans="1:6">
      <c r="A890" s="149" t="s">
        <v>2962</v>
      </c>
      <c r="B890" s="144" t="s">
        <v>946</v>
      </c>
      <c r="C890" s="44">
        <v>16773</v>
      </c>
      <c r="D890" s="153">
        <f t="shared" si="13"/>
        <v>1.0483125</v>
      </c>
      <c r="E890" s="43">
        <v>30972.804001250392</v>
      </c>
      <c r="F890" s="140">
        <v>0.95043418103671229</v>
      </c>
    </row>
    <row r="891" spans="1:6">
      <c r="A891" s="149" t="s">
        <v>2962</v>
      </c>
      <c r="B891" s="144" t="s">
        <v>947</v>
      </c>
      <c r="C891" s="44">
        <v>16772</v>
      </c>
      <c r="D891" s="153">
        <f t="shared" si="13"/>
        <v>1.0482500000000001</v>
      </c>
      <c r="E891" s="43">
        <v>30970.242560640167</v>
      </c>
      <c r="F891" s="140">
        <v>0.95206511714667386</v>
      </c>
    </row>
    <row r="892" spans="1:6">
      <c r="A892" s="149" t="s">
        <v>2962</v>
      </c>
      <c r="B892" s="144" t="s">
        <v>948</v>
      </c>
      <c r="C892" s="44">
        <v>16771</v>
      </c>
      <c r="D892" s="153">
        <f t="shared" si="13"/>
        <v>1.0481875</v>
      </c>
      <c r="E892" s="43">
        <v>30967.681440270051</v>
      </c>
      <c r="F892" s="140">
        <v>0.95369600088321249</v>
      </c>
    </row>
    <row r="893" spans="1:6">
      <c r="A893" s="149" t="s">
        <v>2962</v>
      </c>
      <c r="B893" s="144" t="s">
        <v>949</v>
      </c>
      <c r="C893" s="44">
        <v>16770</v>
      </c>
      <c r="D893" s="153">
        <f t="shared" si="13"/>
        <v>1.048125</v>
      </c>
      <c r="E893" s="43">
        <v>30965.120640080011</v>
      </c>
      <c r="F893" s="140">
        <v>0.9553268322544568</v>
      </c>
    </row>
    <row r="894" spans="1:6">
      <c r="A894" s="149" t="s">
        <v>2962</v>
      </c>
      <c r="B894" s="144" t="s">
        <v>950</v>
      </c>
      <c r="C894" s="44">
        <v>16768</v>
      </c>
      <c r="D894" s="153">
        <f t="shared" si="13"/>
        <v>1.048</v>
      </c>
      <c r="E894" s="43">
        <v>30960</v>
      </c>
      <c r="F894" s="140">
        <v>0.95858833793369058</v>
      </c>
    </row>
    <row r="895" spans="1:6">
      <c r="A895" s="149" t="s">
        <v>2962</v>
      </c>
      <c r="B895" s="144" t="s">
        <v>951</v>
      </c>
      <c r="C895" s="44">
        <v>16764</v>
      </c>
      <c r="D895" s="153">
        <f t="shared" si="13"/>
        <v>1.04775</v>
      </c>
      <c r="E895" s="43">
        <v>30949.762559360159</v>
      </c>
      <c r="F895" s="140">
        <v>0.96511072126548925</v>
      </c>
    </row>
    <row r="896" spans="1:6">
      <c r="A896" s="149" t="s">
        <v>2962</v>
      </c>
      <c r="B896" s="144" t="s">
        <v>952</v>
      </c>
      <c r="C896" s="44">
        <v>16760</v>
      </c>
      <c r="D896" s="153">
        <f t="shared" si="13"/>
        <v>1.0475000000000001</v>
      </c>
      <c r="E896" s="43">
        <v>30939.530234882564</v>
      </c>
      <c r="F896" s="140">
        <v>0.97163226766093658</v>
      </c>
    </row>
    <row r="897" spans="1:6">
      <c r="A897" s="149" t="s">
        <v>2962</v>
      </c>
      <c r="B897" s="144" t="s">
        <v>953</v>
      </c>
      <c r="C897" s="44">
        <v>16755</v>
      </c>
      <c r="D897" s="153">
        <f t="shared" si="13"/>
        <v>1.0471874999999999</v>
      </c>
      <c r="E897" s="43">
        <v>30926.747018047838</v>
      </c>
      <c r="F897" s="140">
        <v>0.97978302450343335</v>
      </c>
    </row>
    <row r="898" spans="1:6">
      <c r="A898" s="149" t="s">
        <v>2962</v>
      </c>
      <c r="B898" s="144" t="s">
        <v>954</v>
      </c>
      <c r="C898" s="44">
        <v>16749</v>
      </c>
      <c r="D898" s="153">
        <f t="shared" si="13"/>
        <v>1.0468124999999999</v>
      </c>
      <c r="E898" s="43">
        <v>30911.417691491355</v>
      </c>
      <c r="F898" s="140">
        <v>0.98956220902732639</v>
      </c>
    </row>
    <row r="899" spans="1:6">
      <c r="A899" s="149" t="s">
        <v>2962</v>
      </c>
      <c r="B899" s="144" t="s">
        <v>955</v>
      </c>
      <c r="C899" s="44">
        <v>16742</v>
      </c>
      <c r="D899" s="153">
        <f t="shared" si="13"/>
        <v>1.0463750000000001</v>
      </c>
      <c r="E899" s="43">
        <v>30893.547984525147</v>
      </c>
      <c r="F899" s="140">
        <v>1.0009688832476513</v>
      </c>
    </row>
    <row r="900" spans="1:6">
      <c r="A900" s="149" t="s">
        <v>2962</v>
      </c>
      <c r="B900" s="144" t="s">
        <v>956</v>
      </c>
      <c r="C900" s="44">
        <v>16734</v>
      </c>
      <c r="D900" s="153">
        <f t="shared" si="13"/>
        <v>1.0458750000000001</v>
      </c>
      <c r="E900" s="43">
        <v>30873.144567793446</v>
      </c>
      <c r="F900" s="140">
        <v>1.014001954684602</v>
      </c>
    </row>
    <row r="901" spans="1:6">
      <c r="A901" s="149" t="s">
        <v>2962</v>
      </c>
      <c r="B901" s="144" t="s">
        <v>957</v>
      </c>
      <c r="C901" s="44">
        <v>16725</v>
      </c>
      <c r="D901" s="153">
        <f t="shared" si="13"/>
        <v>1.0453125000000001</v>
      </c>
      <c r="E901" s="43">
        <v>30850.215047061025</v>
      </c>
      <c r="F901" s="140">
        <v>1.0286601772074846</v>
      </c>
    </row>
    <row r="902" spans="1:6">
      <c r="A902" s="149" t="s">
        <v>2962</v>
      </c>
      <c r="B902" s="144" t="s">
        <v>958</v>
      </c>
      <c r="C902" s="44">
        <v>16715</v>
      </c>
      <c r="D902" s="153">
        <f t="shared" si="13"/>
        <v>1.0446875</v>
      </c>
      <c r="E902" s="43">
        <v>30824.767956145268</v>
      </c>
      <c r="F902" s="140">
        <v>1.044942151995599</v>
      </c>
    </row>
    <row r="903" spans="1:6">
      <c r="A903" s="149" t="s">
        <v>2962</v>
      </c>
      <c r="B903" s="144" t="s">
        <v>959</v>
      </c>
      <c r="C903" s="44">
        <v>16704</v>
      </c>
      <c r="D903" s="153">
        <f t="shared" ref="D903:D966" si="14">C903/32768*4.096/2</f>
        <v>1.044</v>
      </c>
      <c r="E903" s="43">
        <v>30796.812749003984</v>
      </c>
      <c r="F903" s="140">
        <v>1.062846328616331</v>
      </c>
    </row>
    <row r="904" spans="1:6">
      <c r="A904" s="149" t="s">
        <v>2962</v>
      </c>
      <c r="B904" s="144" t="s">
        <v>960</v>
      </c>
      <c r="C904" s="44">
        <v>16693</v>
      </c>
      <c r="D904" s="153">
        <f t="shared" si="14"/>
        <v>1.0433125000000001</v>
      </c>
      <c r="E904" s="43">
        <v>30768.895800933125</v>
      </c>
      <c r="F904" s="140">
        <v>1.0807442344492415</v>
      </c>
    </row>
    <row r="905" spans="1:6">
      <c r="A905" s="149" t="s">
        <v>2962</v>
      </c>
      <c r="B905" s="144" t="s">
        <v>961</v>
      </c>
      <c r="C905" s="44">
        <v>16681</v>
      </c>
      <c r="D905" s="153">
        <f t="shared" si="14"/>
        <v>1.0425625000000001</v>
      </c>
      <c r="E905" s="43">
        <v>30738.484490582458</v>
      </c>
      <c r="F905" s="140">
        <v>1.100262083360235</v>
      </c>
    </row>
    <row r="906" spans="1:6">
      <c r="A906" s="149" t="s">
        <v>2962</v>
      </c>
      <c r="B906" s="144" t="s">
        <v>962</v>
      </c>
      <c r="C906" s="44">
        <v>16668</v>
      </c>
      <c r="D906" s="153">
        <f t="shared" si="14"/>
        <v>1.04175</v>
      </c>
      <c r="E906" s="43">
        <v>30705.590062111802</v>
      </c>
      <c r="F906" s="140">
        <v>1.1213980285322691</v>
      </c>
    </row>
    <row r="907" spans="1:6">
      <c r="A907" s="149" t="s">
        <v>2962</v>
      </c>
      <c r="B907" s="144" t="s">
        <v>963</v>
      </c>
      <c r="C907" s="44">
        <v>16654</v>
      </c>
      <c r="D907" s="153">
        <f t="shared" si="14"/>
        <v>1.040875</v>
      </c>
      <c r="E907" s="43">
        <v>30670.224649373216</v>
      </c>
      <c r="F907" s="140">
        <v>1.144150075706591</v>
      </c>
    </row>
    <row r="908" spans="1:6">
      <c r="A908" s="149" t="s">
        <v>2962</v>
      </c>
      <c r="B908" s="144" t="s">
        <v>964</v>
      </c>
      <c r="C908" s="44">
        <v>16641</v>
      </c>
      <c r="D908" s="153">
        <f t="shared" si="14"/>
        <v>1.0400625000000001</v>
      </c>
      <c r="E908" s="43">
        <v>30637.440317480006</v>
      </c>
      <c r="F908" s="140">
        <v>1.1652679510725648</v>
      </c>
    </row>
    <row r="909" spans="1:6">
      <c r="A909" s="149" t="s">
        <v>2962</v>
      </c>
      <c r="B909" s="144" t="s">
        <v>965</v>
      </c>
      <c r="C909" s="44">
        <v>16626</v>
      </c>
      <c r="D909" s="153">
        <f t="shared" si="14"/>
        <v>1.0391250000000001</v>
      </c>
      <c r="E909" s="43">
        <v>30599.677859001364</v>
      </c>
      <c r="F909" s="140">
        <v>1.1896239538692726</v>
      </c>
    </row>
    <row r="910" spans="1:6">
      <c r="A910" s="149" t="s">
        <v>2962</v>
      </c>
      <c r="B910" s="144" t="s">
        <v>966</v>
      </c>
      <c r="C910" s="44">
        <v>16612</v>
      </c>
      <c r="D910" s="153">
        <f t="shared" si="14"/>
        <v>1.0382500000000001</v>
      </c>
      <c r="E910" s="43">
        <v>30564.496162416446</v>
      </c>
      <c r="F910" s="140">
        <v>1.2123458284289654</v>
      </c>
    </row>
    <row r="911" spans="1:6">
      <c r="A911" s="149" t="s">
        <v>2962</v>
      </c>
      <c r="B911" s="144" t="s">
        <v>967</v>
      </c>
      <c r="C911" s="44">
        <v>16597</v>
      </c>
      <c r="D911" s="153">
        <f t="shared" si="14"/>
        <v>1.0373125000000001</v>
      </c>
      <c r="E911" s="43">
        <v>30526.869086636572</v>
      </c>
      <c r="F911" s="140">
        <v>1.2366795820706784</v>
      </c>
    </row>
    <row r="912" spans="1:6">
      <c r="A912" s="149" t="s">
        <v>2962</v>
      </c>
      <c r="B912" s="144" t="s">
        <v>968</v>
      </c>
      <c r="C912" s="44">
        <v>16583</v>
      </c>
      <c r="D912" s="153">
        <f t="shared" si="14"/>
        <v>1.0364375000000001</v>
      </c>
      <c r="E912" s="43">
        <v>30491.813407476064</v>
      </c>
      <c r="F912" s="140">
        <v>1.2593807372751371</v>
      </c>
    </row>
    <row r="913" spans="1:6">
      <c r="A913" s="149" t="s">
        <v>2962</v>
      </c>
      <c r="B913" s="144" t="s">
        <v>969</v>
      </c>
      <c r="C913" s="44">
        <v>16568</v>
      </c>
      <c r="D913" s="153">
        <f t="shared" si="14"/>
        <v>1.0355000000000001</v>
      </c>
      <c r="E913" s="43">
        <v>30454.320987654322</v>
      </c>
      <c r="F913" s="140">
        <v>1.2836923413334489</v>
      </c>
    </row>
    <row r="914" spans="1:6">
      <c r="A914" s="149" t="s">
        <v>2962</v>
      </c>
      <c r="B914" s="144" t="s">
        <v>970</v>
      </c>
      <c r="C914" s="44">
        <v>16554</v>
      </c>
      <c r="D914" s="153">
        <f t="shared" si="14"/>
        <v>1.0346250000000001</v>
      </c>
      <c r="E914" s="43">
        <v>30419.390650055513</v>
      </c>
      <c r="F914" s="140">
        <v>1.3063728698950285</v>
      </c>
    </row>
    <row r="915" spans="1:6">
      <c r="A915" s="149" t="s">
        <v>2962</v>
      </c>
      <c r="B915" s="144" t="s">
        <v>971</v>
      </c>
      <c r="C915" s="44">
        <v>16540</v>
      </c>
      <c r="D915" s="153">
        <f t="shared" si="14"/>
        <v>1.0337499999999999</v>
      </c>
      <c r="E915" s="43">
        <v>30384.520581710625</v>
      </c>
      <c r="F915" s="140">
        <v>1.329043473818956</v>
      </c>
    </row>
    <row r="916" spans="1:6">
      <c r="A916" s="149" t="s">
        <v>2962</v>
      </c>
      <c r="B916" s="144" t="s">
        <v>972</v>
      </c>
      <c r="C916" s="44">
        <v>16526</v>
      </c>
      <c r="D916" s="153">
        <f t="shared" si="14"/>
        <v>1.032875</v>
      </c>
      <c r="E916" s="43">
        <v>30349.710626770102</v>
      </c>
      <c r="F916" s="140">
        <v>1.3517041745603251</v>
      </c>
    </row>
    <row r="917" spans="1:6">
      <c r="A917" s="149" t="s">
        <v>2962</v>
      </c>
      <c r="B917" s="144" t="s">
        <v>973</v>
      </c>
      <c r="C917" s="44">
        <v>16512</v>
      </c>
      <c r="D917" s="153">
        <f t="shared" si="14"/>
        <v>1.032</v>
      </c>
      <c r="E917" s="43">
        <v>30314.960629921261</v>
      </c>
      <c r="F917" s="140">
        <v>1.3743549935255714</v>
      </c>
    </row>
    <row r="918" spans="1:6">
      <c r="A918" s="149" t="s">
        <v>2962</v>
      </c>
      <c r="B918" s="144" t="s">
        <v>974</v>
      </c>
      <c r="C918" s="44">
        <v>16499</v>
      </c>
      <c r="D918" s="153">
        <f t="shared" si="14"/>
        <v>1.0311874999999999</v>
      </c>
      <c r="E918" s="43">
        <v>30282.746327371075</v>
      </c>
      <c r="F918" s="140">
        <v>1.3953790672964033</v>
      </c>
    </row>
    <row r="919" spans="1:6">
      <c r="A919" s="149" t="s">
        <v>2962</v>
      </c>
      <c r="B919" s="144" t="s">
        <v>975</v>
      </c>
      <c r="C919" s="44">
        <v>16486</v>
      </c>
      <c r="D919" s="153">
        <f t="shared" si="14"/>
        <v>1.030375</v>
      </c>
      <c r="E919" s="43">
        <v>30250.58346640462</v>
      </c>
      <c r="F919" s="140">
        <v>1.416394656034015</v>
      </c>
    </row>
    <row r="920" spans="1:6">
      <c r="A920" s="149" t="s">
        <v>2962</v>
      </c>
      <c r="B920" s="144" t="s">
        <v>976</v>
      </c>
      <c r="C920" s="44">
        <v>16473</v>
      </c>
      <c r="D920" s="153">
        <f t="shared" si="14"/>
        <v>1.0295624999999999</v>
      </c>
      <c r="E920" s="43">
        <v>30218.471923903038</v>
      </c>
      <c r="F920" s="140">
        <v>1.4374017767646592</v>
      </c>
    </row>
    <row r="921" spans="1:6">
      <c r="A921" s="149" t="s">
        <v>2962</v>
      </c>
      <c r="B921" s="144" t="s">
        <v>977</v>
      </c>
      <c r="C921" s="44">
        <v>16461</v>
      </c>
      <c r="D921" s="153">
        <f t="shared" si="14"/>
        <v>1.0288125000000001</v>
      </c>
      <c r="E921" s="43">
        <v>30188.875942846636</v>
      </c>
      <c r="F921" s="140">
        <v>1.4567854638428344</v>
      </c>
    </row>
    <row r="922" spans="1:6">
      <c r="A922" s="149" t="s">
        <v>2962</v>
      </c>
      <c r="B922" s="144" t="s">
        <v>978</v>
      </c>
      <c r="C922" s="44">
        <v>16449</v>
      </c>
      <c r="D922" s="153">
        <f t="shared" si="14"/>
        <v>1.0280625000000001</v>
      </c>
      <c r="E922" s="43">
        <v>30159.323487958827</v>
      </c>
      <c r="F922" s="140">
        <v>1.4761619633910641</v>
      </c>
    </row>
    <row r="923" spans="1:6">
      <c r="A923" s="149" t="s">
        <v>2962</v>
      </c>
      <c r="B923" s="144" t="s">
        <v>979</v>
      </c>
      <c r="C923" s="44">
        <v>16438</v>
      </c>
      <c r="D923" s="153">
        <f t="shared" si="14"/>
        <v>1.0273749999999999</v>
      </c>
      <c r="E923" s="43">
        <v>30132.271892222903</v>
      </c>
      <c r="F923" s="140">
        <v>1.4939174519664107</v>
      </c>
    </row>
    <row r="924" spans="1:6">
      <c r="A924" s="149" t="s">
        <v>2962</v>
      </c>
      <c r="B924" s="144" t="s">
        <v>980</v>
      </c>
      <c r="C924" s="44">
        <v>16427</v>
      </c>
      <c r="D924" s="153">
        <f t="shared" si="14"/>
        <v>1.0266875</v>
      </c>
      <c r="E924" s="43">
        <v>30105.256716235235</v>
      </c>
      <c r="F924" s="140">
        <v>1.5116669224374277</v>
      </c>
    </row>
    <row r="925" spans="1:6">
      <c r="A925" s="149" t="s">
        <v>2962</v>
      </c>
      <c r="B925" s="144" t="s">
        <v>981</v>
      </c>
      <c r="C925" s="44">
        <v>16416</v>
      </c>
      <c r="D925" s="153">
        <f t="shared" si="14"/>
        <v>1.026</v>
      </c>
      <c r="E925" s="43">
        <v>30078.277886497064</v>
      </c>
      <c r="F925" s="140">
        <v>1.529410385019105</v>
      </c>
    </row>
    <row r="926" spans="1:6">
      <c r="A926" s="149" t="s">
        <v>2962</v>
      </c>
      <c r="B926" s="144" t="s">
        <v>982</v>
      </c>
      <c r="C926" s="44">
        <v>16406</v>
      </c>
      <c r="D926" s="153">
        <f t="shared" si="14"/>
        <v>1.0253749999999999</v>
      </c>
      <c r="E926" s="43">
        <v>30053.783156093388</v>
      </c>
      <c r="F926" s="140">
        <v>1.5455356006706324</v>
      </c>
    </row>
    <row r="927" spans="1:6">
      <c r="A927" s="149" t="s">
        <v>2962</v>
      </c>
      <c r="B927" s="144" t="s">
        <v>983</v>
      </c>
      <c r="C927" s="44">
        <v>16396</v>
      </c>
      <c r="D927" s="153">
        <f t="shared" si="14"/>
        <v>1.02475</v>
      </c>
      <c r="E927" s="43">
        <v>30029.318348399705</v>
      </c>
      <c r="F927" s="140">
        <v>1.5616558671993062</v>
      </c>
    </row>
    <row r="928" spans="1:6">
      <c r="A928" s="149" t="s">
        <v>2962</v>
      </c>
      <c r="B928" s="144" t="s">
        <v>984</v>
      </c>
      <c r="C928" s="44">
        <v>16387</v>
      </c>
      <c r="D928" s="153">
        <f t="shared" si="14"/>
        <v>1.0241875</v>
      </c>
      <c r="E928" s="43">
        <v>30007.325560100115</v>
      </c>
      <c r="F928" s="140">
        <v>1.5761598818860421</v>
      </c>
    </row>
    <row r="929" spans="1:6">
      <c r="A929" s="149" t="s">
        <v>2962</v>
      </c>
      <c r="B929" s="144" t="s">
        <v>985</v>
      </c>
      <c r="C929" s="44">
        <v>16378</v>
      </c>
      <c r="D929" s="153">
        <f t="shared" si="14"/>
        <v>1.023625</v>
      </c>
      <c r="E929" s="43">
        <v>29985.356924954242</v>
      </c>
      <c r="F929" s="140">
        <v>1.590659899526031</v>
      </c>
    </row>
    <row r="930" spans="1:6">
      <c r="A930" s="149" t="s">
        <v>2962</v>
      </c>
      <c r="B930" s="144" t="s">
        <v>986</v>
      </c>
      <c r="C930" s="44">
        <v>16369</v>
      </c>
      <c r="D930" s="153">
        <f t="shared" si="14"/>
        <v>1.0230625</v>
      </c>
      <c r="E930" s="43">
        <v>29963.412403195318</v>
      </c>
      <c r="F930" s="140">
        <v>1.6051559256688392</v>
      </c>
    </row>
    <row r="931" spans="1:6">
      <c r="A931" s="149" t="s">
        <v>2962</v>
      </c>
      <c r="B931" s="144" t="s">
        <v>987</v>
      </c>
      <c r="C931" s="44">
        <v>16360</v>
      </c>
      <c r="D931" s="153">
        <f t="shared" si="14"/>
        <v>1.0225</v>
      </c>
      <c r="E931" s="43">
        <v>29941.491955143832</v>
      </c>
      <c r="F931" s="140">
        <v>1.6196479658560747</v>
      </c>
    </row>
    <row r="932" spans="1:6">
      <c r="A932" s="149" t="s">
        <v>2962</v>
      </c>
      <c r="B932" s="144" t="s">
        <v>988</v>
      </c>
      <c r="C932" s="44">
        <v>16353</v>
      </c>
      <c r="D932" s="153">
        <f t="shared" si="14"/>
        <v>1.0220625000000001</v>
      </c>
      <c r="E932" s="43">
        <v>29924.459335973199</v>
      </c>
      <c r="F932" s="140">
        <v>1.6309168004887056</v>
      </c>
    </row>
    <row r="933" spans="1:6">
      <c r="A933" s="149" t="s">
        <v>2962</v>
      </c>
      <c r="B933" s="144" t="s">
        <v>989</v>
      </c>
      <c r="C933" s="44">
        <v>16345</v>
      </c>
      <c r="D933" s="153">
        <f t="shared" si="14"/>
        <v>1.0215624999999999</v>
      </c>
      <c r="E933" s="43">
        <v>29905.011264689765</v>
      </c>
      <c r="F933" s="140">
        <v>1.643792523515117</v>
      </c>
    </row>
    <row r="934" spans="1:6">
      <c r="A934" s="149" t="s">
        <v>2962</v>
      </c>
      <c r="B934" s="144" t="s">
        <v>990</v>
      </c>
      <c r="C934" s="44">
        <v>16338</v>
      </c>
      <c r="D934" s="153">
        <f t="shared" si="14"/>
        <v>1.0211250000000001</v>
      </c>
      <c r="E934" s="43">
        <v>29888.009738283628</v>
      </c>
      <c r="F934" s="140">
        <v>1.655056207093935</v>
      </c>
    </row>
    <row r="935" spans="1:6">
      <c r="A935" s="149" t="s">
        <v>2962</v>
      </c>
      <c r="B935" s="144" t="s">
        <v>991</v>
      </c>
      <c r="C935" s="44">
        <v>16331</v>
      </c>
      <c r="D935" s="153">
        <f t="shared" si="14"/>
        <v>1.0206875</v>
      </c>
      <c r="E935" s="43">
        <v>29871.022692705483</v>
      </c>
      <c r="F935" s="140">
        <v>1.666317490925735</v>
      </c>
    </row>
    <row r="936" spans="1:6">
      <c r="A936" s="149" t="s">
        <v>2962</v>
      </c>
      <c r="B936" s="144" t="s">
        <v>992</v>
      </c>
      <c r="C936" s="44">
        <v>16325</v>
      </c>
      <c r="D936" s="153">
        <f t="shared" si="14"/>
        <v>1.0203125</v>
      </c>
      <c r="E936" s="43">
        <v>29856.473879462385</v>
      </c>
      <c r="F936" s="140">
        <v>1.6759681118857657</v>
      </c>
    </row>
    <row r="937" spans="1:6">
      <c r="A937" s="149" t="s">
        <v>2962</v>
      </c>
      <c r="B937" s="144" t="s">
        <v>993</v>
      </c>
      <c r="C937" s="44">
        <v>16318</v>
      </c>
      <c r="D937" s="153">
        <f t="shared" si="14"/>
        <v>1.0198750000000001</v>
      </c>
      <c r="E937" s="43">
        <v>29839.513677811548</v>
      </c>
      <c r="F937" s="140">
        <v>1.687224945916455</v>
      </c>
    </row>
    <row r="938" spans="1:6">
      <c r="A938" s="149" t="s">
        <v>2962</v>
      </c>
      <c r="B938" s="144" t="s">
        <v>994</v>
      </c>
      <c r="C938" s="44">
        <v>16312</v>
      </c>
      <c r="D938" s="153">
        <f t="shared" si="14"/>
        <v>1.0195000000000001</v>
      </c>
      <c r="E938" s="43">
        <v>29824.987846378222</v>
      </c>
      <c r="F938" s="140">
        <v>1.6968717565851534</v>
      </c>
    </row>
    <row r="939" spans="1:6">
      <c r="A939" s="149" t="s">
        <v>2962</v>
      </c>
      <c r="B939" s="144" t="s">
        <v>995</v>
      </c>
      <c r="C939" s="44">
        <v>16307</v>
      </c>
      <c r="D939" s="153">
        <f t="shared" si="14"/>
        <v>1.0191874999999999</v>
      </c>
      <c r="E939" s="43">
        <v>29812.891075876312</v>
      </c>
      <c r="F939" s="140">
        <v>1.7049094240030058</v>
      </c>
    </row>
    <row r="940" spans="1:6">
      <c r="A940" s="149" t="s">
        <v>2962</v>
      </c>
      <c r="B940" s="144" t="s">
        <v>996</v>
      </c>
      <c r="C940" s="44">
        <v>16301</v>
      </c>
      <c r="D940" s="153">
        <f t="shared" si="14"/>
        <v>1.0188125000000001</v>
      </c>
      <c r="E940" s="43">
        <v>29798.384648084051</v>
      </c>
      <c r="F940" s="140">
        <v>1.7145530165439595</v>
      </c>
    </row>
    <row r="941" spans="1:6">
      <c r="A941" s="149" t="s">
        <v>2962</v>
      </c>
      <c r="B941" s="144" t="s">
        <v>997</v>
      </c>
      <c r="C941" s="44">
        <v>16296</v>
      </c>
      <c r="D941" s="153">
        <f t="shared" si="14"/>
        <v>1.0185</v>
      </c>
      <c r="E941" s="43">
        <v>29786.304031083051</v>
      </c>
      <c r="F941" s="140">
        <v>1.722588004463546</v>
      </c>
    </row>
    <row r="942" spans="1:6">
      <c r="A942" s="149" t="s">
        <v>2962</v>
      </c>
      <c r="B942" s="144" t="s">
        <v>998</v>
      </c>
      <c r="C942" s="44">
        <v>16291</v>
      </c>
      <c r="D942" s="153">
        <f t="shared" si="14"/>
        <v>1.0181875</v>
      </c>
      <c r="E942" s="43">
        <v>29774.230745888206</v>
      </c>
      <c r="F942" s="140">
        <v>1.730621775932093</v>
      </c>
    </row>
    <row r="943" spans="1:6">
      <c r="A943" s="149" t="s">
        <v>2962</v>
      </c>
      <c r="B943" s="144" t="s">
        <v>999</v>
      </c>
      <c r="C943" s="44">
        <v>16286</v>
      </c>
      <c r="D943" s="153">
        <f t="shared" si="14"/>
        <v>1.0178750000000001</v>
      </c>
      <c r="E943" s="43">
        <v>29762.164785826964</v>
      </c>
      <c r="F943" s="140">
        <v>1.7386543318875738</v>
      </c>
    </row>
    <row r="944" spans="1:6">
      <c r="A944" s="149" t="s">
        <v>2962</v>
      </c>
      <c r="B944" s="144" t="s">
        <v>1000</v>
      </c>
      <c r="C944" s="44">
        <v>16282</v>
      </c>
      <c r="D944" s="153">
        <f t="shared" si="14"/>
        <v>1.017625</v>
      </c>
      <c r="E944" s="43">
        <v>29752.517287395367</v>
      </c>
      <c r="F944" s="140">
        <v>1.7450795021123326</v>
      </c>
    </row>
    <row r="945" spans="1:6">
      <c r="A945" s="149" t="s">
        <v>2962</v>
      </c>
      <c r="B945" s="144" t="s">
        <v>1001</v>
      </c>
      <c r="C945" s="44">
        <v>16278</v>
      </c>
      <c r="D945" s="153">
        <f t="shared" si="14"/>
        <v>1.0173749999999999</v>
      </c>
      <c r="E945" s="43">
        <v>29742.87446937538</v>
      </c>
      <c r="F945" s="140">
        <v>1.7515038954883835</v>
      </c>
    </row>
    <row r="946" spans="1:6">
      <c r="A946" s="149" t="s">
        <v>2962</v>
      </c>
      <c r="B946" s="144" t="s">
        <v>1002</v>
      </c>
      <c r="C946" s="44">
        <v>16273</v>
      </c>
      <c r="D946" s="153">
        <f t="shared" si="14"/>
        <v>1.0170625</v>
      </c>
      <c r="E946" s="43">
        <v>29730.827523491967</v>
      </c>
      <c r="F946" s="140">
        <v>1.7595332954946912</v>
      </c>
    </row>
    <row r="947" spans="1:6">
      <c r="A947" s="149" t="s">
        <v>2962</v>
      </c>
      <c r="B947" s="144" t="s">
        <v>1003</v>
      </c>
      <c r="C947" s="44">
        <v>16270</v>
      </c>
      <c r="D947" s="153">
        <f t="shared" si="14"/>
        <v>1.016875</v>
      </c>
      <c r="E947" s="43">
        <v>29723.602860952844</v>
      </c>
      <c r="F947" s="140">
        <v>1.7643503536103253</v>
      </c>
    </row>
    <row r="948" spans="1:6">
      <c r="A948" s="149" t="s">
        <v>2962</v>
      </c>
      <c r="B948" s="144" t="s">
        <v>1004</v>
      </c>
      <c r="C948" s="44">
        <v>16266</v>
      </c>
      <c r="D948" s="153">
        <f t="shared" si="14"/>
        <v>1.0166250000000001</v>
      </c>
      <c r="E948" s="43">
        <v>29713.974063749854</v>
      </c>
      <c r="F948" s="140">
        <v>1.7707724193139143</v>
      </c>
    </row>
    <row r="949" spans="1:6">
      <c r="A949" s="149" t="s">
        <v>2962</v>
      </c>
      <c r="B949" s="144" t="s">
        <v>1005</v>
      </c>
      <c r="C949" s="44">
        <v>16262</v>
      </c>
      <c r="D949" s="153">
        <f t="shared" si="14"/>
        <v>1.016375</v>
      </c>
      <c r="E949" s="43">
        <v>29704.349933357567</v>
      </c>
      <c r="F949" s="140">
        <v>1.7771937100839068</v>
      </c>
    </row>
    <row r="950" spans="1:6">
      <c r="A950" s="149" t="s">
        <v>2962</v>
      </c>
      <c r="B950" s="144" t="s">
        <v>1006</v>
      </c>
      <c r="C950" s="44">
        <v>16259</v>
      </c>
      <c r="D950" s="153">
        <f t="shared" si="14"/>
        <v>1.0161875</v>
      </c>
      <c r="E950" s="43">
        <v>29697.13489611727</v>
      </c>
      <c r="F950" s="140">
        <v>1.7820091698985721</v>
      </c>
    </row>
    <row r="951" spans="1:6">
      <c r="A951" s="149" t="s">
        <v>2962</v>
      </c>
      <c r="B951" s="144" t="s">
        <v>1007</v>
      </c>
      <c r="C951" s="44">
        <v>16255</v>
      </c>
      <c r="D951" s="153">
        <f t="shared" si="14"/>
        <v>1.0159374999999999</v>
      </c>
      <c r="E951" s="43">
        <v>29687.518924483738</v>
      </c>
      <c r="F951" s="140">
        <v>1.7884291056845996</v>
      </c>
    </row>
    <row r="952" spans="1:6">
      <c r="A952" s="149" t="s">
        <v>2962</v>
      </c>
      <c r="B952" s="145" t="s">
        <v>1008</v>
      </c>
      <c r="C952" s="142">
        <v>16252</v>
      </c>
      <c r="D952" s="153">
        <f t="shared" si="14"/>
        <v>1.0157499999999999</v>
      </c>
      <c r="E952" s="143">
        <v>29680.310002421895</v>
      </c>
      <c r="F952" s="141">
        <v>1.7932435498099721</v>
      </c>
    </row>
    <row r="953" spans="1:6">
      <c r="A953" s="149" t="s">
        <v>2962</v>
      </c>
      <c r="B953" s="144" t="s">
        <v>1009</v>
      </c>
      <c r="C953" s="44">
        <v>16249</v>
      </c>
      <c r="D953" s="153">
        <f t="shared" si="14"/>
        <v>1.0155624999999999</v>
      </c>
      <c r="E953" s="43">
        <v>29673.103698771112</v>
      </c>
      <c r="F953" s="140">
        <v>1.7980575589754721</v>
      </c>
    </row>
    <row r="954" spans="1:6">
      <c r="A954" s="149" t="s">
        <v>2962</v>
      </c>
      <c r="B954" s="144" t="s">
        <v>1010</v>
      </c>
      <c r="C954" s="44">
        <v>16246</v>
      </c>
      <c r="D954" s="153">
        <f t="shared" si="14"/>
        <v>1.0153749999999999</v>
      </c>
      <c r="E954" s="43">
        <v>29665.90001210507</v>
      </c>
      <c r="F954" s="140">
        <v>1.802871133382439</v>
      </c>
    </row>
    <row r="955" spans="1:6">
      <c r="A955" s="149" t="s">
        <v>2962</v>
      </c>
      <c r="B955" s="144" t="s">
        <v>1011</v>
      </c>
      <c r="C955" s="44">
        <v>16244</v>
      </c>
      <c r="D955" s="153">
        <f t="shared" si="14"/>
        <v>1.01525</v>
      </c>
      <c r="E955" s="43">
        <v>29661.099007504235</v>
      </c>
      <c r="F955" s="140">
        <v>1.8060799415538327</v>
      </c>
    </row>
    <row r="956" spans="1:6">
      <c r="A956" s="149" t="s">
        <v>2962</v>
      </c>
      <c r="B956" s="144" t="s">
        <v>1012</v>
      </c>
      <c r="C956" s="44">
        <v>16241</v>
      </c>
      <c r="D956" s="153">
        <f t="shared" si="14"/>
        <v>1.0150625</v>
      </c>
      <c r="E956" s="43">
        <v>29653.899679312639</v>
      </c>
      <c r="F956" s="140">
        <v>1.8108927918100335</v>
      </c>
    </row>
    <row r="957" spans="1:6">
      <c r="A957" s="149" t="s">
        <v>2962</v>
      </c>
      <c r="B957" s="144" t="s">
        <v>1013</v>
      </c>
      <c r="C957" s="44">
        <v>16239</v>
      </c>
      <c r="D957" s="153">
        <f t="shared" si="14"/>
        <v>1.0149375</v>
      </c>
      <c r="E957" s="43">
        <v>29649.101579042894</v>
      </c>
      <c r="F957" s="140">
        <v>1.8141011174003552</v>
      </c>
    </row>
    <row r="958" spans="1:6">
      <c r="A958" s="149" t="s">
        <v>2962</v>
      </c>
      <c r="B958" s="144" t="s">
        <v>1014</v>
      </c>
      <c r="C958" s="44">
        <v>16236</v>
      </c>
      <c r="D958" s="153">
        <f t="shared" si="14"/>
        <v>1.01475</v>
      </c>
      <c r="E958" s="43">
        <v>29641.906605371401</v>
      </c>
      <c r="F958" s="140">
        <v>1.8189132440641629</v>
      </c>
    </row>
    <row r="959" spans="1:6">
      <c r="A959" s="149" t="s">
        <v>2962</v>
      </c>
      <c r="B959" s="144" t="s">
        <v>1015</v>
      </c>
      <c r="C959" s="44">
        <v>16234</v>
      </c>
      <c r="D959" s="153">
        <f t="shared" si="14"/>
        <v>1.0146250000000001</v>
      </c>
      <c r="E959" s="43">
        <v>29637.111406798118</v>
      </c>
      <c r="F959" s="140">
        <v>1.8221210874455664</v>
      </c>
    </row>
    <row r="960" spans="1:6">
      <c r="A960" s="149" t="s">
        <v>2962</v>
      </c>
      <c r="B960" s="144" t="s">
        <v>1016</v>
      </c>
      <c r="C960" s="44">
        <v>16231</v>
      </c>
      <c r="D960" s="153">
        <f t="shared" si="14"/>
        <v>1.0144375000000001</v>
      </c>
      <c r="E960" s="43">
        <v>29629.920783697169</v>
      </c>
      <c r="F960" s="140">
        <v>1.8269324910746718</v>
      </c>
    </row>
    <row r="961" spans="1:6">
      <c r="A961" s="149" t="s">
        <v>2962</v>
      </c>
      <c r="B961" s="144" t="s">
        <v>1017</v>
      </c>
      <c r="C961" s="44">
        <v>16229</v>
      </c>
      <c r="D961" s="153">
        <f t="shared" si="14"/>
        <v>1.0143125</v>
      </c>
      <c r="E961" s="43">
        <v>29625.128484188888</v>
      </c>
      <c r="F961" s="140">
        <v>1.8301398526187995</v>
      </c>
    </row>
    <row r="962" spans="1:6">
      <c r="A962" s="149" t="s">
        <v>2962</v>
      </c>
      <c r="B962" s="144" t="s">
        <v>1018</v>
      </c>
      <c r="C962" s="44">
        <v>16227</v>
      </c>
      <c r="D962" s="153">
        <f t="shared" si="14"/>
        <v>1.0141875</v>
      </c>
      <c r="E962" s="43">
        <v>29620.337343570522</v>
      </c>
      <c r="F962" s="140">
        <v>1.8333470215320631</v>
      </c>
    </row>
    <row r="963" spans="1:6">
      <c r="A963" s="149" t="s">
        <v>2962</v>
      </c>
      <c r="B963" s="144" t="s">
        <v>1019</v>
      </c>
      <c r="C963" s="44">
        <v>16225</v>
      </c>
      <c r="D963" s="153">
        <f t="shared" si="14"/>
        <v>1.0140625000000001</v>
      </c>
      <c r="E963" s="43">
        <v>29615.547361421748</v>
      </c>
      <c r="F963" s="140">
        <v>1.8365539978738639</v>
      </c>
    </row>
    <row r="964" spans="1:6">
      <c r="A964" s="149" t="s">
        <v>2962</v>
      </c>
      <c r="B964" s="144" t="s">
        <v>1020</v>
      </c>
      <c r="C964" s="44">
        <v>16223</v>
      </c>
      <c r="D964" s="153">
        <f t="shared" si="14"/>
        <v>1.0139374999999999</v>
      </c>
      <c r="E964" s="43">
        <v>29610.758537322454</v>
      </c>
      <c r="F964" s="140">
        <v>1.8397607817035464</v>
      </c>
    </row>
    <row r="965" spans="1:6">
      <c r="A965" s="149" t="s">
        <v>2962</v>
      </c>
      <c r="B965" s="144" t="s">
        <v>1021</v>
      </c>
      <c r="C965" s="44">
        <v>16221</v>
      </c>
      <c r="D965" s="153">
        <f t="shared" si="14"/>
        <v>1.0138125</v>
      </c>
      <c r="E965" s="43">
        <v>29605.970870852721</v>
      </c>
      <c r="F965" s="140">
        <v>1.8429673730805689</v>
      </c>
    </row>
    <row r="966" spans="1:6">
      <c r="A966" s="149" t="s">
        <v>2962</v>
      </c>
      <c r="B966" s="144" t="s">
        <v>1022</v>
      </c>
      <c r="C966" s="44">
        <v>16219</v>
      </c>
      <c r="D966" s="153">
        <f t="shared" si="14"/>
        <v>1.0136875000000001</v>
      </c>
      <c r="E966" s="43">
        <v>29601.184361592845</v>
      </c>
      <c r="F966" s="140">
        <v>1.8461737720642191</v>
      </c>
    </row>
    <row r="967" spans="1:6">
      <c r="A967" s="149" t="s">
        <v>2962</v>
      </c>
      <c r="B967" s="144" t="s">
        <v>1023</v>
      </c>
      <c r="C967" s="44">
        <v>16217</v>
      </c>
      <c r="D967" s="153">
        <f t="shared" ref="D967:D1030" si="15">C967/32768*4.096/2</f>
        <v>1.0135624999999999</v>
      </c>
      <c r="E967" s="43">
        <v>29596.399009123317</v>
      </c>
      <c r="F967" s="140">
        <v>1.8493799787138983</v>
      </c>
    </row>
    <row r="968" spans="1:6">
      <c r="A968" s="149" t="s">
        <v>2962</v>
      </c>
      <c r="B968" s="144" t="s">
        <v>1024</v>
      </c>
      <c r="C968" s="44">
        <v>16216</v>
      </c>
      <c r="D968" s="153">
        <f t="shared" si="15"/>
        <v>1.0135000000000001</v>
      </c>
      <c r="E968" s="43">
        <v>29594.006766553892</v>
      </c>
      <c r="F968" s="140">
        <v>1.8509830099320084</v>
      </c>
    </row>
    <row r="969" spans="1:6">
      <c r="A969" s="149" t="s">
        <v>2962</v>
      </c>
      <c r="B969" s="144" t="s">
        <v>1025</v>
      </c>
      <c r="C969" s="44">
        <v>16214</v>
      </c>
      <c r="D969" s="153">
        <f t="shared" si="15"/>
        <v>1.0133749999999999</v>
      </c>
      <c r="E969" s="43">
        <v>29589.22314848375</v>
      </c>
      <c r="F969" s="140">
        <v>1.8541889281918884</v>
      </c>
    </row>
    <row r="970" spans="1:6">
      <c r="A970" s="149" t="s">
        <v>2962</v>
      </c>
      <c r="B970" s="144" t="s">
        <v>1026</v>
      </c>
      <c r="C970" s="44">
        <v>16212</v>
      </c>
      <c r="D970" s="153">
        <f t="shared" si="15"/>
        <v>1.01325</v>
      </c>
      <c r="E970" s="43">
        <v>29584.440686156075</v>
      </c>
      <c r="F970" s="140">
        <v>1.8573946542660451</v>
      </c>
    </row>
    <row r="971" spans="1:6">
      <c r="A971" s="149" t="s">
        <v>2962</v>
      </c>
      <c r="B971" s="144" t="s">
        <v>1027</v>
      </c>
      <c r="C971" s="44">
        <v>16211</v>
      </c>
      <c r="D971" s="153">
        <f t="shared" si="15"/>
        <v>1.0131875000000001</v>
      </c>
      <c r="E971" s="43">
        <v>29582.049888264788</v>
      </c>
      <c r="F971" s="140">
        <v>1.85899744525193</v>
      </c>
    </row>
    <row r="972" spans="1:6">
      <c r="A972" s="149" t="s">
        <v>2962</v>
      </c>
      <c r="B972" s="144" t="s">
        <v>1028</v>
      </c>
      <c r="C972" s="44">
        <v>16209</v>
      </c>
      <c r="D972" s="153">
        <f t="shared" si="15"/>
        <v>1.0130625</v>
      </c>
      <c r="E972" s="43">
        <v>29577.269158765626</v>
      </c>
      <c r="F972" s="140">
        <v>1.8622028831585453</v>
      </c>
    </row>
    <row r="973" spans="1:6">
      <c r="A973" s="149" t="s">
        <v>2962</v>
      </c>
      <c r="B973" s="144" t="s">
        <v>1029</v>
      </c>
      <c r="C973" s="44">
        <v>16208</v>
      </c>
      <c r="D973" s="153">
        <f t="shared" si="15"/>
        <v>1.0130000000000001</v>
      </c>
      <c r="E973" s="43">
        <v>29574.879227053145</v>
      </c>
      <c r="F973" s="140">
        <v>1.863805530094055</v>
      </c>
    </row>
    <row r="974" spans="1:6">
      <c r="A974" s="149" t="s">
        <v>2962</v>
      </c>
      <c r="B974" s="144" t="s">
        <v>1030</v>
      </c>
      <c r="C974" s="44">
        <v>16206</v>
      </c>
      <c r="D974" s="153">
        <f t="shared" si="15"/>
        <v>1.012875</v>
      </c>
      <c r="E974" s="43">
        <v>29570.10022944089</v>
      </c>
      <c r="F974" s="140">
        <v>1.8670106799664268</v>
      </c>
    </row>
    <row r="975" spans="1:6">
      <c r="A975" s="149" t="s">
        <v>2962</v>
      </c>
      <c r="B975" s="144" t="s">
        <v>1031</v>
      </c>
      <c r="C975" s="44">
        <v>16205</v>
      </c>
      <c r="D975" s="153">
        <f t="shared" si="15"/>
        <v>1.0128125000000001</v>
      </c>
      <c r="E975" s="43">
        <v>29567.711163436579</v>
      </c>
      <c r="F975" s="140">
        <v>1.8686131829181249</v>
      </c>
    </row>
    <row r="976" spans="1:6">
      <c r="A976" s="149" t="s">
        <v>2962</v>
      </c>
      <c r="B976" s="144" t="s">
        <v>1032</v>
      </c>
      <c r="C976" s="44">
        <v>16204</v>
      </c>
      <c r="D976" s="153">
        <f t="shared" si="15"/>
        <v>1.01275</v>
      </c>
      <c r="E976" s="43">
        <v>29565.322385897125</v>
      </c>
      <c r="F976" s="140">
        <v>1.8702156378899986</v>
      </c>
    </row>
    <row r="977" spans="1:6">
      <c r="A977" s="149" t="s">
        <v>2962</v>
      </c>
      <c r="B977" s="144" t="s">
        <v>1033</v>
      </c>
      <c r="C977" s="44">
        <v>16202</v>
      </c>
      <c r="D977" s="153">
        <f t="shared" si="15"/>
        <v>1.0126250000000001</v>
      </c>
      <c r="E977" s="43">
        <v>29560.545696003868</v>
      </c>
      <c r="F977" s="140">
        <v>1.8734204039240012</v>
      </c>
    </row>
    <row r="978" spans="1:6">
      <c r="A978" s="149" t="s">
        <v>2962</v>
      </c>
      <c r="B978" s="144" t="s">
        <v>1034</v>
      </c>
      <c r="C978" s="44">
        <v>16201</v>
      </c>
      <c r="D978" s="153">
        <f t="shared" si="15"/>
        <v>1.0125625</v>
      </c>
      <c r="E978" s="43">
        <v>29558.157783545601</v>
      </c>
      <c r="F978" s="140">
        <v>1.8750227150009664</v>
      </c>
    </row>
    <row r="979" spans="1:6">
      <c r="A979" s="149" t="s">
        <v>2962</v>
      </c>
      <c r="B979" s="144" t="s">
        <v>1035</v>
      </c>
      <c r="C979" s="44">
        <v>16200</v>
      </c>
      <c r="D979" s="153">
        <f t="shared" si="15"/>
        <v>1.0125</v>
      </c>
      <c r="E979" s="43">
        <v>29555.770159343312</v>
      </c>
      <c r="F979" s="140">
        <v>1.8766249781276656</v>
      </c>
    </row>
    <row r="980" spans="1:6">
      <c r="A980" s="149" t="s">
        <v>2962</v>
      </c>
      <c r="B980" s="144" t="s">
        <v>1036</v>
      </c>
      <c r="C980" s="44">
        <v>16199</v>
      </c>
      <c r="D980" s="153">
        <f t="shared" si="15"/>
        <v>1.0124375000000001</v>
      </c>
      <c r="E980" s="43">
        <v>29553.382823344808</v>
      </c>
      <c r="F980" s="140">
        <v>1.8782271933115453</v>
      </c>
    </row>
    <row r="981" spans="1:6">
      <c r="A981" s="149" t="s">
        <v>2962</v>
      </c>
      <c r="B981" s="144" t="s">
        <v>1037</v>
      </c>
      <c r="C981" s="44">
        <v>16198</v>
      </c>
      <c r="D981" s="153">
        <f t="shared" si="15"/>
        <v>1.012375</v>
      </c>
      <c r="E981" s="43">
        <v>29550.99577549789</v>
      </c>
      <c r="F981" s="140">
        <v>1.8798293605599952</v>
      </c>
    </row>
    <row r="982" spans="1:6">
      <c r="A982" s="149" t="s">
        <v>2962</v>
      </c>
      <c r="B982" s="144" t="s">
        <v>1038</v>
      </c>
      <c r="C982" s="44">
        <v>16197</v>
      </c>
      <c r="D982" s="153">
        <f t="shared" si="15"/>
        <v>1.0123124999999999</v>
      </c>
      <c r="E982" s="43">
        <v>29548.609015750408</v>
      </c>
      <c r="F982" s="140">
        <v>1.8814314798804617</v>
      </c>
    </row>
    <row r="983" spans="1:6">
      <c r="A983" s="149" t="s">
        <v>2962</v>
      </c>
      <c r="B983" s="144" t="s">
        <v>1039</v>
      </c>
      <c r="C983" s="44">
        <v>16196</v>
      </c>
      <c r="D983" s="153">
        <f t="shared" si="15"/>
        <v>1.0122500000000001</v>
      </c>
      <c r="E983" s="43">
        <v>29546.222544050212</v>
      </c>
      <c r="F983" s="140">
        <v>1.8830335512803344</v>
      </c>
    </row>
    <row r="984" spans="1:6">
      <c r="A984" s="149" t="s">
        <v>2962</v>
      </c>
      <c r="B984" s="144" t="s">
        <v>1040</v>
      </c>
      <c r="C984" s="44">
        <v>16195</v>
      </c>
      <c r="D984" s="153">
        <f t="shared" si="15"/>
        <v>1.0121875</v>
      </c>
      <c r="E984" s="43">
        <v>29543.83636034514</v>
      </c>
      <c r="F984" s="140">
        <v>1.8846355747668326</v>
      </c>
    </row>
    <row r="985" spans="1:6">
      <c r="A985" s="149" t="s">
        <v>2962</v>
      </c>
      <c r="B985" s="144" t="s">
        <v>1041</v>
      </c>
      <c r="C985" s="44">
        <v>16194</v>
      </c>
      <c r="D985" s="153">
        <f t="shared" si="15"/>
        <v>1.0121249999999999</v>
      </c>
      <c r="E985" s="43">
        <v>29541.450464583082</v>
      </c>
      <c r="F985" s="140">
        <v>1.8862375503475164</v>
      </c>
    </row>
    <row r="986" spans="1:6">
      <c r="A986" s="149" t="s">
        <v>2962</v>
      </c>
      <c r="B986" s="144" t="s">
        <v>1042</v>
      </c>
      <c r="C986" s="44">
        <v>16193</v>
      </c>
      <c r="D986" s="153">
        <f t="shared" si="15"/>
        <v>1.0120625000000001</v>
      </c>
      <c r="E986" s="43">
        <v>29539.064856711917</v>
      </c>
      <c r="F986" s="140">
        <v>1.8878394780297185</v>
      </c>
    </row>
    <row r="987" spans="1:6">
      <c r="A987" s="149" t="s">
        <v>2962</v>
      </c>
      <c r="B987" s="144" t="s">
        <v>1043</v>
      </c>
      <c r="C987" s="44">
        <v>16192</v>
      </c>
      <c r="D987" s="153">
        <f t="shared" si="15"/>
        <v>1.012</v>
      </c>
      <c r="E987" s="43">
        <v>29536.679536679538</v>
      </c>
      <c r="F987" s="140">
        <v>1.8894413578208287</v>
      </c>
    </row>
    <row r="988" spans="1:6">
      <c r="A988" s="149" t="s">
        <v>2962</v>
      </c>
      <c r="B988" s="144" t="s">
        <v>1044</v>
      </c>
      <c r="C988" s="44">
        <v>16191</v>
      </c>
      <c r="D988" s="153">
        <f t="shared" si="15"/>
        <v>1.0119374999999999</v>
      </c>
      <c r="E988" s="43">
        <v>29534.294504433856</v>
      </c>
      <c r="F988" s="140">
        <v>1.8910431897282933</v>
      </c>
    </row>
    <row r="989" spans="1:6">
      <c r="A989" s="149" t="s">
        <v>2962</v>
      </c>
      <c r="B989" s="144" t="s">
        <v>1045</v>
      </c>
      <c r="C989" s="44">
        <v>16190</v>
      </c>
      <c r="D989" s="153">
        <f t="shared" si="15"/>
        <v>1.0118750000000001</v>
      </c>
      <c r="E989" s="43">
        <v>29531.90975992279</v>
      </c>
      <c r="F989" s="140">
        <v>1.8926449737593884</v>
      </c>
    </row>
    <row r="990" spans="1:6">
      <c r="A990" s="149" t="s">
        <v>2962</v>
      </c>
      <c r="B990" s="144" t="s">
        <v>1046</v>
      </c>
      <c r="C990" s="44">
        <v>16189</v>
      </c>
      <c r="D990" s="153">
        <f t="shared" si="15"/>
        <v>1.0118125</v>
      </c>
      <c r="E990" s="43">
        <v>29529.525303094277</v>
      </c>
      <c r="F990" s="140">
        <v>1.8942467099215037</v>
      </c>
    </row>
    <row r="991" spans="1:6">
      <c r="A991" s="149" t="s">
        <v>2962</v>
      </c>
      <c r="B991" s="144" t="s">
        <v>1047</v>
      </c>
      <c r="C991" s="44">
        <v>16188</v>
      </c>
      <c r="D991" s="153">
        <f t="shared" si="15"/>
        <v>1.0117499999999999</v>
      </c>
      <c r="E991" s="43">
        <v>29527.141133896261</v>
      </c>
      <c r="F991" s="140">
        <v>1.8958483982221424</v>
      </c>
    </row>
    <row r="992" spans="1:6">
      <c r="A992" s="149" t="s">
        <v>2962</v>
      </c>
      <c r="B992" s="144" t="s">
        <v>1048</v>
      </c>
      <c r="C992" s="44">
        <v>16187</v>
      </c>
      <c r="D992" s="153">
        <f t="shared" si="15"/>
        <v>1.0116875000000001</v>
      </c>
      <c r="E992" s="43">
        <v>29524.7572522767</v>
      </c>
      <c r="F992" s="140">
        <v>1.8974500386685804</v>
      </c>
    </row>
    <row r="993" spans="1:6">
      <c r="A993" s="149" t="s">
        <v>2962</v>
      </c>
      <c r="B993" s="144" t="s">
        <v>1049</v>
      </c>
      <c r="C993" s="44">
        <v>16186</v>
      </c>
      <c r="D993" s="153">
        <f t="shared" si="15"/>
        <v>1.011625</v>
      </c>
      <c r="E993" s="43">
        <v>29522.373658183573</v>
      </c>
      <c r="F993" s="140">
        <v>1.8990516312682075</v>
      </c>
    </row>
    <row r="994" spans="1:6">
      <c r="A994" s="149" t="s">
        <v>2962</v>
      </c>
      <c r="B994" s="144" t="s">
        <v>1050</v>
      </c>
      <c r="C994" s="44">
        <v>16186</v>
      </c>
      <c r="D994" s="153">
        <f t="shared" si="15"/>
        <v>1.011625</v>
      </c>
      <c r="E994" s="43">
        <v>29522.373658183573</v>
      </c>
      <c r="F994" s="140">
        <v>1.8990516312682075</v>
      </c>
    </row>
    <row r="995" spans="1:6">
      <c r="A995" s="149" t="s">
        <v>2962</v>
      </c>
      <c r="B995" s="144" t="s">
        <v>1051</v>
      </c>
      <c r="C995" s="44">
        <v>16185</v>
      </c>
      <c r="D995" s="153">
        <f t="shared" si="15"/>
        <v>1.0115624999999999</v>
      </c>
      <c r="E995" s="43">
        <v>29519.990351564855</v>
      </c>
      <c r="F995" s="140">
        <v>1.9006531760284133</v>
      </c>
    </row>
    <row r="996" spans="1:6">
      <c r="A996" s="149" t="s">
        <v>2962</v>
      </c>
      <c r="B996" s="144" t="s">
        <v>1052</v>
      </c>
      <c r="C996" s="44">
        <v>16184</v>
      </c>
      <c r="D996" s="153">
        <f t="shared" si="15"/>
        <v>1.0115000000000001</v>
      </c>
      <c r="E996" s="43">
        <v>29517.607332368549</v>
      </c>
      <c r="F996" s="140">
        <v>1.9022546729566443</v>
      </c>
    </row>
    <row r="997" spans="1:6">
      <c r="A997" s="149" t="s">
        <v>2962</v>
      </c>
      <c r="B997" s="144" t="s">
        <v>1053</v>
      </c>
      <c r="C997" s="44">
        <v>16183</v>
      </c>
      <c r="D997" s="153">
        <f t="shared" si="15"/>
        <v>1.0114375</v>
      </c>
      <c r="E997" s="43">
        <v>29515.22460054266</v>
      </c>
      <c r="F997" s="140">
        <v>1.9038561220601196</v>
      </c>
    </row>
    <row r="998" spans="1:6">
      <c r="A998" s="149" t="s">
        <v>2962</v>
      </c>
      <c r="B998" s="144" t="s">
        <v>1054</v>
      </c>
      <c r="C998" s="44">
        <v>16183</v>
      </c>
      <c r="D998" s="153">
        <f t="shared" si="15"/>
        <v>1.0114375</v>
      </c>
      <c r="E998" s="43">
        <v>29515.22460054266</v>
      </c>
      <c r="F998" s="140">
        <v>1.9038561220601196</v>
      </c>
    </row>
    <row r="999" spans="1:6">
      <c r="A999" s="149" t="s">
        <v>2962</v>
      </c>
      <c r="B999" s="144" t="s">
        <v>1055</v>
      </c>
      <c r="C999" s="44">
        <v>16182</v>
      </c>
      <c r="D999" s="153">
        <f t="shared" si="15"/>
        <v>1.0113749999999999</v>
      </c>
      <c r="E999" s="43">
        <v>29512.842156035211</v>
      </c>
      <c r="F999" s="140">
        <v>1.9054575233462856</v>
      </c>
    </row>
    <row r="1000" spans="1:6">
      <c r="A1000" s="149" t="s">
        <v>2962</v>
      </c>
      <c r="B1000" s="144" t="s">
        <v>1056</v>
      </c>
      <c r="C1000" s="44">
        <v>16181</v>
      </c>
      <c r="D1000" s="153">
        <f t="shared" si="15"/>
        <v>1.0113125000000001</v>
      </c>
      <c r="E1000" s="43">
        <v>29510.459998794235</v>
      </c>
      <c r="F1000" s="140">
        <v>1.9070588768226457</v>
      </c>
    </row>
    <row r="1001" spans="1:6">
      <c r="A1001" s="149" t="s">
        <v>2962</v>
      </c>
      <c r="B1001" s="144" t="s">
        <v>1057</v>
      </c>
      <c r="C1001" s="44">
        <v>16181</v>
      </c>
      <c r="D1001" s="153">
        <f t="shared" si="15"/>
        <v>1.0113125000000001</v>
      </c>
      <c r="E1001" s="43">
        <v>29510.459998794235</v>
      </c>
      <c r="F1001" s="140">
        <v>1.9070588768226457</v>
      </c>
    </row>
    <row r="1002" spans="1:6">
      <c r="A1002" s="149" t="s">
        <v>2962</v>
      </c>
      <c r="B1002" s="144" t="s">
        <v>1058</v>
      </c>
      <c r="C1002" s="44">
        <v>16180</v>
      </c>
      <c r="D1002" s="153">
        <f t="shared" si="15"/>
        <v>1.01125</v>
      </c>
      <c r="E1002" s="43">
        <v>29508.078128767786</v>
      </c>
      <c r="F1002" s="140">
        <v>1.9086601824963623</v>
      </c>
    </row>
    <row r="1003" spans="1:6">
      <c r="A1003" s="149" t="s">
        <v>2962</v>
      </c>
      <c r="B1003" s="144" t="s">
        <v>1059</v>
      </c>
      <c r="C1003" s="44">
        <v>16179</v>
      </c>
      <c r="D1003" s="153">
        <f t="shared" si="15"/>
        <v>1.0111875000000001</v>
      </c>
      <c r="E1003" s="43">
        <v>29505.696545903917</v>
      </c>
      <c r="F1003" s="140">
        <v>1.9102614403748817</v>
      </c>
    </row>
    <row r="1004" spans="1:6">
      <c r="A1004" s="149" t="s">
        <v>2962</v>
      </c>
      <c r="B1004" s="144" t="s">
        <v>1060</v>
      </c>
      <c r="C1004" s="44">
        <v>16179</v>
      </c>
      <c r="D1004" s="153">
        <f t="shared" si="15"/>
        <v>1.0111875000000001</v>
      </c>
      <c r="E1004" s="43">
        <v>29505.696545903917</v>
      </c>
      <c r="F1004" s="140">
        <v>1.9102614403748817</v>
      </c>
    </row>
    <row r="1005" spans="1:6">
      <c r="A1005" s="149" t="s">
        <v>2962</v>
      </c>
      <c r="B1005" s="144" t="s">
        <v>1061</v>
      </c>
      <c r="C1005" s="44">
        <v>16178</v>
      </c>
      <c r="D1005" s="153">
        <f t="shared" si="15"/>
        <v>1.0111250000000001</v>
      </c>
      <c r="E1005" s="43">
        <v>29503.315250150692</v>
      </c>
      <c r="F1005" s="140">
        <v>1.9118626504656504</v>
      </c>
    </row>
    <row r="1006" spans="1:6">
      <c r="A1006" s="149" t="s">
        <v>2962</v>
      </c>
      <c r="B1006" s="144" t="s">
        <v>1062</v>
      </c>
      <c r="C1006" s="44">
        <v>16178</v>
      </c>
      <c r="D1006" s="153">
        <f t="shared" si="15"/>
        <v>1.0111250000000001</v>
      </c>
      <c r="E1006" s="43">
        <v>29503.315250150692</v>
      </c>
      <c r="F1006" s="140">
        <v>1.9118626504656504</v>
      </c>
    </row>
    <row r="1007" spans="1:6">
      <c r="A1007" s="149" t="s">
        <v>2962</v>
      </c>
      <c r="B1007" s="144" t="s">
        <v>1063</v>
      </c>
      <c r="C1007" s="44">
        <v>16177</v>
      </c>
      <c r="D1007" s="153">
        <f t="shared" si="15"/>
        <v>1.0110625</v>
      </c>
      <c r="E1007" s="43">
        <v>29500.934241456212</v>
      </c>
      <c r="F1007" s="140">
        <v>1.9134638127759445</v>
      </c>
    </row>
    <row r="1008" spans="1:6">
      <c r="A1008" s="149" t="s">
        <v>2962</v>
      </c>
      <c r="B1008" s="144" t="s">
        <v>1064</v>
      </c>
      <c r="C1008" s="44">
        <v>16176</v>
      </c>
      <c r="D1008" s="153">
        <f t="shared" si="15"/>
        <v>1.0110000000000001</v>
      </c>
      <c r="E1008" s="43">
        <v>29498.553519768568</v>
      </c>
      <c r="F1008" s="140">
        <v>1.9150649273131535</v>
      </c>
    </row>
    <row r="1009" spans="1:6">
      <c r="A1009" s="149" t="s">
        <v>2962</v>
      </c>
      <c r="B1009" s="144" t="s">
        <v>1065</v>
      </c>
      <c r="C1009" s="44">
        <v>16176</v>
      </c>
      <c r="D1009" s="153">
        <f t="shared" si="15"/>
        <v>1.0110000000000001</v>
      </c>
      <c r="E1009" s="43">
        <v>29498.553519768568</v>
      </c>
      <c r="F1009" s="140">
        <v>1.9150649273131535</v>
      </c>
    </row>
    <row r="1010" spans="1:6">
      <c r="A1010" s="149" t="s">
        <v>2962</v>
      </c>
      <c r="B1010" s="144" t="s">
        <v>1066</v>
      </c>
      <c r="C1010" s="44">
        <v>16175</v>
      </c>
      <c r="D1010" s="153">
        <f t="shared" si="15"/>
        <v>1.0109375</v>
      </c>
      <c r="E1010" s="43">
        <v>29496.173085035858</v>
      </c>
      <c r="F1010" s="140">
        <v>1.9166659940847239</v>
      </c>
    </row>
    <row r="1011" spans="1:6">
      <c r="A1011" s="149" t="s">
        <v>2962</v>
      </c>
      <c r="B1011" s="144" t="s">
        <v>1067</v>
      </c>
      <c r="C1011" s="44">
        <v>16175</v>
      </c>
      <c r="D1011" s="153">
        <f t="shared" si="15"/>
        <v>1.0109375</v>
      </c>
      <c r="E1011" s="43">
        <v>29496.173085035858</v>
      </c>
      <c r="F1011" s="140">
        <v>1.9166659940847239</v>
      </c>
    </row>
    <row r="1012" spans="1:6">
      <c r="A1012" s="149" t="s">
        <v>2962</v>
      </c>
      <c r="B1012" s="144" t="s">
        <v>1068</v>
      </c>
      <c r="C1012" s="44">
        <v>16174</v>
      </c>
      <c r="D1012" s="153">
        <f t="shared" si="15"/>
        <v>1.010875</v>
      </c>
      <c r="E1012" s="43">
        <v>29493.792937206221</v>
      </c>
      <c r="F1012" s="140">
        <v>1.9182670130979318</v>
      </c>
    </row>
    <row r="1013" spans="1:6">
      <c r="A1013" s="149" t="s">
        <v>2962</v>
      </c>
      <c r="B1013" s="144" t="s">
        <v>1069</v>
      </c>
      <c r="C1013" s="44">
        <v>16174</v>
      </c>
      <c r="D1013" s="153">
        <f t="shared" si="15"/>
        <v>1.010875</v>
      </c>
      <c r="E1013" s="43">
        <v>29493.792937206221</v>
      </c>
      <c r="F1013" s="140">
        <v>1.9182670130979318</v>
      </c>
    </row>
    <row r="1014" spans="1:6">
      <c r="A1014" s="149" t="s">
        <v>2962</v>
      </c>
      <c r="B1014" s="144" t="s">
        <v>1070</v>
      </c>
      <c r="C1014" s="44">
        <v>16173</v>
      </c>
      <c r="D1014" s="153">
        <f t="shared" si="15"/>
        <v>1.0108125000000001</v>
      </c>
      <c r="E1014" s="43">
        <v>29491.413076227785</v>
      </c>
      <c r="F1014" s="140">
        <v>1.9198679843601099</v>
      </c>
    </row>
    <row r="1015" spans="1:6">
      <c r="A1015" s="149" t="s">
        <v>2962</v>
      </c>
      <c r="B1015" s="144" t="s">
        <v>1071</v>
      </c>
      <c r="C1015" s="44">
        <v>16173</v>
      </c>
      <c r="D1015" s="153">
        <f t="shared" si="15"/>
        <v>1.0108125000000001</v>
      </c>
      <c r="E1015" s="43">
        <v>29491.413076227785</v>
      </c>
      <c r="F1015" s="140">
        <v>1.9198679843601099</v>
      </c>
    </row>
    <row r="1016" spans="1:6">
      <c r="A1016" s="149" t="s">
        <v>2962</v>
      </c>
      <c r="B1016" s="144" t="s">
        <v>1072</v>
      </c>
      <c r="C1016" s="44">
        <v>16173</v>
      </c>
      <c r="D1016" s="153">
        <f t="shared" si="15"/>
        <v>1.0108125000000001</v>
      </c>
      <c r="E1016" s="43">
        <v>29491.413076227785</v>
      </c>
      <c r="F1016" s="140">
        <v>1.9198679843601099</v>
      </c>
    </row>
    <row r="1017" spans="1:6">
      <c r="A1017" s="149" t="s">
        <v>2962</v>
      </c>
      <c r="B1017" s="144" t="s">
        <v>1073</v>
      </c>
      <c r="C1017" s="44">
        <v>16172</v>
      </c>
      <c r="D1017" s="153">
        <f t="shared" si="15"/>
        <v>1.01075</v>
      </c>
      <c r="E1017" s="43">
        <v>29489.033502048685</v>
      </c>
      <c r="F1017" s="140">
        <v>1.9214689078786478</v>
      </c>
    </row>
    <row r="1018" spans="1:6">
      <c r="A1018" s="149" t="s">
        <v>2962</v>
      </c>
      <c r="B1018" s="144" t="s">
        <v>1074</v>
      </c>
      <c r="C1018" s="44">
        <v>16172</v>
      </c>
      <c r="D1018" s="153">
        <f t="shared" si="15"/>
        <v>1.01075</v>
      </c>
      <c r="E1018" s="43">
        <v>29489.033502048685</v>
      </c>
      <c r="F1018" s="140">
        <v>1.9214689078786478</v>
      </c>
    </row>
    <row r="1019" spans="1:6">
      <c r="A1019" s="149" t="s">
        <v>2962</v>
      </c>
      <c r="B1019" s="144" t="s">
        <v>1075</v>
      </c>
      <c r="C1019" s="44">
        <v>16171</v>
      </c>
      <c r="D1019" s="153">
        <f t="shared" si="15"/>
        <v>1.0106875</v>
      </c>
      <c r="E1019" s="43">
        <v>29486.654214617098</v>
      </c>
      <c r="F1019" s="140">
        <v>1.923069783660992</v>
      </c>
    </row>
    <row r="1020" spans="1:6">
      <c r="A1020" s="149" t="s">
        <v>2962</v>
      </c>
      <c r="B1020" s="144" t="s">
        <v>1076</v>
      </c>
      <c r="C1020" s="44">
        <v>16171</v>
      </c>
      <c r="D1020" s="153">
        <f t="shared" si="15"/>
        <v>1.0106875</v>
      </c>
      <c r="E1020" s="43">
        <v>29486.654214617098</v>
      </c>
      <c r="F1020" s="140">
        <v>1.923069783660992</v>
      </c>
    </row>
    <row r="1021" spans="1:6">
      <c r="A1021" s="149" t="s">
        <v>2962</v>
      </c>
      <c r="B1021" s="144" t="s">
        <v>1077</v>
      </c>
      <c r="C1021" s="44">
        <v>16170</v>
      </c>
      <c r="D1021" s="153">
        <f t="shared" si="15"/>
        <v>1.0106250000000001</v>
      </c>
      <c r="E1021" s="43">
        <v>29484.275213881196</v>
      </c>
      <c r="F1021" s="140">
        <v>1.9246706117144186</v>
      </c>
    </row>
    <row r="1022" spans="1:6">
      <c r="A1022" s="149" t="s">
        <v>2962</v>
      </c>
      <c r="B1022" s="144" t="s">
        <v>1078</v>
      </c>
      <c r="C1022" s="44">
        <v>16170</v>
      </c>
      <c r="D1022" s="153">
        <f t="shared" si="15"/>
        <v>1.0106250000000001</v>
      </c>
      <c r="E1022" s="43">
        <v>29484.275213881196</v>
      </c>
      <c r="F1022" s="140">
        <v>1.9246706117144186</v>
      </c>
    </row>
    <row r="1023" spans="1:6">
      <c r="A1023" s="149" t="s">
        <v>2962</v>
      </c>
      <c r="B1023" s="144" t="s">
        <v>1079</v>
      </c>
      <c r="C1023" s="44">
        <v>16170</v>
      </c>
      <c r="D1023" s="153">
        <f t="shared" si="15"/>
        <v>1.0106250000000001</v>
      </c>
      <c r="E1023" s="43">
        <v>29484.275213881196</v>
      </c>
      <c r="F1023" s="140">
        <v>1.9246706117144186</v>
      </c>
    </row>
    <row r="1024" spans="1:6">
      <c r="A1024" s="149" t="s">
        <v>2962</v>
      </c>
      <c r="B1024" s="144" t="s">
        <v>1080</v>
      </c>
      <c r="C1024" s="44">
        <v>16169</v>
      </c>
      <c r="D1024" s="153">
        <f t="shared" si="15"/>
        <v>1.0105625</v>
      </c>
      <c r="E1024" s="43">
        <v>29481.896499789145</v>
      </c>
      <c r="F1024" s="140">
        <v>1.926271392046317</v>
      </c>
    </row>
    <row r="1025" spans="1:6">
      <c r="A1025" s="149" t="s">
        <v>2962</v>
      </c>
      <c r="B1025" s="144" t="s">
        <v>1081</v>
      </c>
      <c r="C1025" s="44">
        <v>16169</v>
      </c>
      <c r="D1025" s="153">
        <f t="shared" si="15"/>
        <v>1.0105625</v>
      </c>
      <c r="E1025" s="43">
        <v>29481.896499789145</v>
      </c>
      <c r="F1025" s="140">
        <v>1.926271392046317</v>
      </c>
    </row>
    <row r="1026" spans="1:6">
      <c r="A1026" s="149" t="s">
        <v>2962</v>
      </c>
      <c r="B1026" s="144" t="s">
        <v>1082</v>
      </c>
      <c r="C1026" s="44">
        <v>16169</v>
      </c>
      <c r="D1026" s="153">
        <f t="shared" si="15"/>
        <v>1.0105625</v>
      </c>
      <c r="E1026" s="43">
        <v>29481.896499789145</v>
      </c>
      <c r="F1026" s="140">
        <v>1.926271392046317</v>
      </c>
    </row>
    <row r="1027" spans="1:6">
      <c r="A1027" s="149" t="s">
        <v>2962</v>
      </c>
      <c r="B1027" s="144" t="s">
        <v>1083</v>
      </c>
      <c r="C1027" s="44">
        <v>16168</v>
      </c>
      <c r="D1027" s="153">
        <f t="shared" si="15"/>
        <v>1.0105</v>
      </c>
      <c r="E1027" s="43">
        <v>29479.518072289156</v>
      </c>
      <c r="F1027" s="140">
        <v>1.9278721246640202</v>
      </c>
    </row>
    <row r="1028" spans="1:6">
      <c r="A1028" s="149" t="s">
        <v>2962</v>
      </c>
      <c r="B1028" s="144" t="s">
        <v>1084</v>
      </c>
      <c r="C1028" s="44">
        <v>16168</v>
      </c>
      <c r="D1028" s="153">
        <f t="shared" si="15"/>
        <v>1.0105</v>
      </c>
      <c r="E1028" s="43">
        <v>29479.518072289156</v>
      </c>
      <c r="F1028" s="140">
        <v>1.9278721246640202</v>
      </c>
    </row>
    <row r="1029" spans="1:6">
      <c r="A1029" s="149" t="s">
        <v>2962</v>
      </c>
      <c r="B1029" s="144" t="s">
        <v>1085</v>
      </c>
      <c r="C1029" s="44">
        <v>16168</v>
      </c>
      <c r="D1029" s="153">
        <f t="shared" si="15"/>
        <v>1.0105</v>
      </c>
      <c r="E1029" s="43">
        <v>29479.518072289156</v>
      </c>
      <c r="F1029" s="140">
        <v>1.9278721246640202</v>
      </c>
    </row>
    <row r="1030" spans="1:6">
      <c r="A1030" s="149" t="s">
        <v>2962</v>
      </c>
      <c r="B1030" s="144" t="s">
        <v>1086</v>
      </c>
      <c r="C1030" s="44">
        <v>16167</v>
      </c>
      <c r="D1030" s="153">
        <f t="shared" si="15"/>
        <v>1.0104375000000001</v>
      </c>
      <c r="E1030" s="43">
        <v>29477.139931329442</v>
      </c>
      <c r="F1030" s="140">
        <v>1.9294728095749178</v>
      </c>
    </row>
    <row r="1031" spans="1:6">
      <c r="A1031" s="149" t="s">
        <v>2962</v>
      </c>
      <c r="B1031" s="144" t="s">
        <v>1087</v>
      </c>
      <c r="C1031" s="44">
        <v>16167</v>
      </c>
      <c r="D1031" s="153">
        <f t="shared" ref="D1031:D1094" si="16">C1031/32768*4.096/2</f>
        <v>1.0104375000000001</v>
      </c>
      <c r="E1031" s="43">
        <v>29477.139931329442</v>
      </c>
      <c r="F1031" s="140">
        <v>1.9294728095749178</v>
      </c>
    </row>
    <row r="1032" spans="1:6">
      <c r="A1032" s="149" t="s">
        <v>2962</v>
      </c>
      <c r="B1032" s="144" t="s">
        <v>1088</v>
      </c>
      <c r="C1032" s="44">
        <v>16167</v>
      </c>
      <c r="D1032" s="153">
        <f t="shared" si="16"/>
        <v>1.0104375000000001</v>
      </c>
      <c r="E1032" s="43">
        <v>29477.139931329442</v>
      </c>
      <c r="F1032" s="140">
        <v>1.9294728095749178</v>
      </c>
    </row>
    <row r="1033" spans="1:6">
      <c r="A1033" s="149" t="s">
        <v>2962</v>
      </c>
      <c r="B1033" s="144" t="s">
        <v>1089</v>
      </c>
      <c r="C1033" s="44">
        <v>16166</v>
      </c>
      <c r="D1033" s="153">
        <f t="shared" si="16"/>
        <v>1.010375</v>
      </c>
      <c r="E1033" s="43">
        <v>29474.762076858209</v>
      </c>
      <c r="F1033" s="140">
        <v>1.9310734467863995</v>
      </c>
    </row>
    <row r="1034" spans="1:6">
      <c r="A1034" s="149" t="s">
        <v>2962</v>
      </c>
      <c r="B1034" s="144" t="s">
        <v>1090</v>
      </c>
      <c r="C1034" s="44">
        <v>16166</v>
      </c>
      <c r="D1034" s="153">
        <f t="shared" si="16"/>
        <v>1.010375</v>
      </c>
      <c r="E1034" s="43">
        <v>29474.762076858209</v>
      </c>
      <c r="F1034" s="140">
        <v>1.9310734467863995</v>
      </c>
    </row>
    <row r="1035" spans="1:6">
      <c r="A1035" s="149" t="s">
        <v>2962</v>
      </c>
      <c r="B1035" s="144" t="s">
        <v>1091</v>
      </c>
      <c r="C1035" s="44">
        <v>16166</v>
      </c>
      <c r="D1035" s="153">
        <f t="shared" si="16"/>
        <v>1.010375</v>
      </c>
      <c r="E1035" s="43">
        <v>29474.762076858209</v>
      </c>
      <c r="F1035" s="140">
        <v>1.9310734467863995</v>
      </c>
    </row>
    <row r="1036" spans="1:6">
      <c r="A1036" s="149" t="s">
        <v>2962</v>
      </c>
      <c r="B1036" s="144" t="s">
        <v>1092</v>
      </c>
      <c r="C1036" s="44">
        <v>16166</v>
      </c>
      <c r="D1036" s="153">
        <f t="shared" si="16"/>
        <v>1.010375</v>
      </c>
      <c r="E1036" s="43">
        <v>29474.762076858209</v>
      </c>
      <c r="F1036" s="140">
        <v>1.9310734467863995</v>
      </c>
    </row>
    <row r="1037" spans="1:6">
      <c r="A1037" s="149" t="s">
        <v>2962</v>
      </c>
      <c r="B1037" s="144" t="s">
        <v>1093</v>
      </c>
      <c r="C1037" s="44">
        <v>16165</v>
      </c>
      <c r="D1037" s="153">
        <f t="shared" si="16"/>
        <v>1.0103124999999999</v>
      </c>
      <c r="E1037" s="43">
        <v>29472.384508823707</v>
      </c>
      <c r="F1037" s="140">
        <v>1.9326740363056274</v>
      </c>
    </row>
    <row r="1038" spans="1:6">
      <c r="A1038" s="149" t="s">
        <v>2962</v>
      </c>
      <c r="B1038" s="144" t="s">
        <v>1094</v>
      </c>
      <c r="C1038" s="44">
        <v>16165</v>
      </c>
      <c r="D1038" s="153">
        <f t="shared" si="16"/>
        <v>1.0103124999999999</v>
      </c>
      <c r="E1038" s="43">
        <v>29472.384508823707</v>
      </c>
      <c r="F1038" s="140">
        <v>1.9326740363056274</v>
      </c>
    </row>
    <row r="1039" spans="1:6">
      <c r="A1039" s="149" t="s">
        <v>2962</v>
      </c>
      <c r="B1039" s="144" t="s">
        <v>1095</v>
      </c>
      <c r="C1039" s="44">
        <v>16165</v>
      </c>
      <c r="D1039" s="153">
        <f t="shared" si="16"/>
        <v>1.0103124999999999</v>
      </c>
      <c r="E1039" s="43">
        <v>29472.384508823707</v>
      </c>
      <c r="F1039" s="140">
        <v>1.9326740363056274</v>
      </c>
    </row>
    <row r="1040" spans="1:6">
      <c r="A1040" s="149" t="s">
        <v>2962</v>
      </c>
      <c r="B1040" s="144" t="s">
        <v>1096</v>
      </c>
      <c r="C1040" s="44">
        <v>16164</v>
      </c>
      <c r="D1040" s="153">
        <f t="shared" si="16"/>
        <v>1.0102500000000001</v>
      </c>
      <c r="E1040" s="43">
        <v>29470.007227174181</v>
      </c>
      <c r="F1040" s="140">
        <v>1.9342745781402186</v>
      </c>
    </row>
    <row r="1041" spans="1:6">
      <c r="A1041" s="149" t="s">
        <v>2962</v>
      </c>
      <c r="B1041" s="144" t="s">
        <v>1097</v>
      </c>
      <c r="C1041" s="44">
        <v>16164</v>
      </c>
      <c r="D1041" s="153">
        <f t="shared" si="16"/>
        <v>1.0102500000000001</v>
      </c>
      <c r="E1041" s="43">
        <v>29470.007227174181</v>
      </c>
      <c r="F1041" s="140">
        <v>1.9342745781402186</v>
      </c>
    </row>
    <row r="1042" spans="1:6">
      <c r="A1042" s="149" t="s">
        <v>2962</v>
      </c>
      <c r="B1042" s="144" t="s">
        <v>1098</v>
      </c>
      <c r="C1042" s="44">
        <v>16164</v>
      </c>
      <c r="D1042" s="153">
        <f t="shared" si="16"/>
        <v>1.0102500000000001</v>
      </c>
      <c r="E1042" s="43">
        <v>29470.007227174181</v>
      </c>
      <c r="F1042" s="140">
        <v>1.9342745781402186</v>
      </c>
    </row>
    <row r="1043" spans="1:6">
      <c r="A1043" s="149" t="s">
        <v>2962</v>
      </c>
      <c r="B1043" s="144" t="s">
        <v>1099</v>
      </c>
      <c r="C1043" s="44">
        <v>16164</v>
      </c>
      <c r="D1043" s="153">
        <f t="shared" si="16"/>
        <v>1.0102500000000001</v>
      </c>
      <c r="E1043" s="43">
        <v>29470.007227174181</v>
      </c>
      <c r="F1043" s="140">
        <v>1.9342745781402186</v>
      </c>
    </row>
    <row r="1044" spans="1:6">
      <c r="A1044" s="149" t="s">
        <v>2962</v>
      </c>
      <c r="B1044" s="145" t="s">
        <v>1100</v>
      </c>
      <c r="C1044" s="142">
        <v>16163</v>
      </c>
      <c r="D1044" s="153">
        <f t="shared" si="16"/>
        <v>1.0101875</v>
      </c>
      <c r="E1044" s="143">
        <v>29467.630231857875</v>
      </c>
      <c r="F1044" s="141">
        <v>1.9358750722973355</v>
      </c>
    </row>
    <row r="1045" spans="1:6">
      <c r="A1045" s="149" t="s">
        <v>2962</v>
      </c>
      <c r="B1045" s="144" t="s">
        <v>1101</v>
      </c>
      <c r="C1045" s="44">
        <v>16163</v>
      </c>
      <c r="D1045" s="153">
        <f t="shared" si="16"/>
        <v>1.0101875</v>
      </c>
      <c r="E1045" s="43">
        <v>29467.630231857875</v>
      </c>
      <c r="F1045" s="140">
        <v>1.9358750722973355</v>
      </c>
    </row>
    <row r="1046" spans="1:6">
      <c r="A1046" s="149" t="s">
        <v>2962</v>
      </c>
      <c r="B1046" s="144" t="s">
        <v>1102</v>
      </c>
      <c r="C1046" s="44">
        <v>16163</v>
      </c>
      <c r="D1046" s="153">
        <f t="shared" si="16"/>
        <v>1.0101875</v>
      </c>
      <c r="E1046" s="43">
        <v>29467.630231857875</v>
      </c>
      <c r="F1046" s="140">
        <v>1.9358750722973355</v>
      </c>
    </row>
    <row r="1047" spans="1:6">
      <c r="A1047" s="149" t="s">
        <v>2962</v>
      </c>
      <c r="B1047" s="144" t="s">
        <v>1103</v>
      </c>
      <c r="C1047" s="44">
        <v>16163</v>
      </c>
      <c r="D1047" s="153">
        <f t="shared" si="16"/>
        <v>1.0101875</v>
      </c>
      <c r="E1047" s="43">
        <v>29467.630231857875</v>
      </c>
      <c r="F1047" s="140">
        <v>1.9358750722973355</v>
      </c>
    </row>
    <row r="1048" spans="1:6">
      <c r="A1048" s="149" t="s">
        <v>2962</v>
      </c>
      <c r="B1048" s="144" t="s">
        <v>1104</v>
      </c>
      <c r="C1048" s="44">
        <v>16163</v>
      </c>
      <c r="D1048" s="153">
        <f t="shared" si="16"/>
        <v>1.0101875</v>
      </c>
      <c r="E1048" s="43">
        <v>29467.630231857875</v>
      </c>
      <c r="F1048" s="140">
        <v>1.9358750722973355</v>
      </c>
    </row>
    <row r="1049" spans="1:6">
      <c r="A1049" s="149" t="s">
        <v>2962</v>
      </c>
      <c r="B1049" s="144" t="s">
        <v>1105</v>
      </c>
      <c r="C1049" s="44">
        <v>16163</v>
      </c>
      <c r="D1049" s="153">
        <f t="shared" si="16"/>
        <v>1.0101875</v>
      </c>
      <c r="E1049" s="43">
        <v>29467.630231857875</v>
      </c>
      <c r="F1049" s="140">
        <v>1.9358750722973355</v>
      </c>
    </row>
    <row r="1050" spans="1:6">
      <c r="A1050" s="149" t="s">
        <v>2962</v>
      </c>
      <c r="B1050" s="144" t="s">
        <v>1106</v>
      </c>
      <c r="C1050" s="44">
        <v>16162</v>
      </c>
      <c r="D1050" s="153">
        <f t="shared" si="16"/>
        <v>1.0101249999999999</v>
      </c>
      <c r="E1050" s="43">
        <v>29465.253522823077</v>
      </c>
      <c r="F1050" s="140">
        <v>1.9374755187844244</v>
      </c>
    </row>
    <row r="1051" spans="1:6">
      <c r="A1051" s="149" t="s">
        <v>2962</v>
      </c>
      <c r="B1051" s="144" t="s">
        <v>1107</v>
      </c>
      <c r="C1051" s="44">
        <v>16162</v>
      </c>
      <c r="D1051" s="153">
        <f t="shared" si="16"/>
        <v>1.0101249999999999</v>
      </c>
      <c r="E1051" s="43">
        <v>29465.253522823077</v>
      </c>
      <c r="F1051" s="140">
        <v>1.9374755187844244</v>
      </c>
    </row>
    <row r="1052" spans="1:6">
      <c r="A1052" s="149" t="s">
        <v>2962</v>
      </c>
      <c r="B1052" s="144" t="s">
        <v>1108</v>
      </c>
      <c r="C1052" s="44">
        <v>16162</v>
      </c>
      <c r="D1052" s="153">
        <f t="shared" si="16"/>
        <v>1.0101249999999999</v>
      </c>
      <c r="E1052" s="43">
        <v>29465.253522823077</v>
      </c>
      <c r="F1052" s="140">
        <v>1.9374755187844244</v>
      </c>
    </row>
    <row r="1053" spans="1:6">
      <c r="A1053" s="149" t="s">
        <v>2962</v>
      </c>
      <c r="B1053" s="144" t="s">
        <v>1109</v>
      </c>
      <c r="C1053" s="44">
        <v>16162</v>
      </c>
      <c r="D1053" s="153">
        <f t="shared" si="16"/>
        <v>1.0101249999999999</v>
      </c>
      <c r="E1053" s="43">
        <v>29465.253522823077</v>
      </c>
      <c r="F1053" s="140">
        <v>1.9374755187844244</v>
      </c>
    </row>
    <row r="1054" spans="1:6">
      <c r="A1054" s="149" t="s">
        <v>2962</v>
      </c>
      <c r="B1054" s="144" t="s">
        <v>1110</v>
      </c>
      <c r="C1054" s="44">
        <v>16162</v>
      </c>
      <c r="D1054" s="153">
        <f t="shared" si="16"/>
        <v>1.0101249999999999</v>
      </c>
      <c r="E1054" s="43">
        <v>29465.253522823077</v>
      </c>
      <c r="F1054" s="140">
        <v>1.9374755187844244</v>
      </c>
    </row>
    <row r="1055" spans="1:6">
      <c r="A1055" s="149" t="s">
        <v>2962</v>
      </c>
      <c r="B1055" s="144" t="s">
        <v>1111</v>
      </c>
      <c r="C1055" s="44">
        <v>16161</v>
      </c>
      <c r="D1055" s="153">
        <f t="shared" si="16"/>
        <v>1.0100625000000001</v>
      </c>
      <c r="E1055" s="43">
        <v>29462.877100018064</v>
      </c>
      <c r="F1055" s="140">
        <v>1.9390759176088181</v>
      </c>
    </row>
    <row r="1056" spans="1:6">
      <c r="A1056" s="149" t="s">
        <v>2962</v>
      </c>
      <c r="B1056" s="144" t="s">
        <v>1112</v>
      </c>
      <c r="C1056" s="44">
        <v>16161</v>
      </c>
      <c r="D1056" s="153">
        <f t="shared" si="16"/>
        <v>1.0100625000000001</v>
      </c>
      <c r="E1056" s="43">
        <v>29462.877100018064</v>
      </c>
      <c r="F1056" s="140">
        <v>1.9390759176088181</v>
      </c>
    </row>
    <row r="1057" spans="1:6">
      <c r="A1057" s="149" t="s">
        <v>2962</v>
      </c>
      <c r="B1057" s="144" t="s">
        <v>1113</v>
      </c>
      <c r="C1057" s="44">
        <v>16161</v>
      </c>
      <c r="D1057" s="153">
        <f t="shared" si="16"/>
        <v>1.0100625000000001</v>
      </c>
      <c r="E1057" s="43">
        <v>29462.877100018064</v>
      </c>
      <c r="F1057" s="140">
        <v>1.9390759176088181</v>
      </c>
    </row>
    <row r="1058" spans="1:6">
      <c r="A1058" s="149" t="s">
        <v>2962</v>
      </c>
      <c r="B1058" s="144" t="s">
        <v>1114</v>
      </c>
      <c r="C1058" s="44">
        <v>16161</v>
      </c>
      <c r="D1058" s="153">
        <f t="shared" si="16"/>
        <v>1.0100625000000001</v>
      </c>
      <c r="E1058" s="43">
        <v>29462.877100018064</v>
      </c>
      <c r="F1058" s="140">
        <v>1.9390759176088181</v>
      </c>
    </row>
    <row r="1059" spans="1:6">
      <c r="A1059" s="149" t="s">
        <v>2962</v>
      </c>
      <c r="B1059" s="144" t="s">
        <v>1115</v>
      </c>
      <c r="C1059" s="44">
        <v>16161</v>
      </c>
      <c r="D1059" s="153">
        <f t="shared" si="16"/>
        <v>1.0100625000000001</v>
      </c>
      <c r="E1059" s="43">
        <v>29462.877100018064</v>
      </c>
      <c r="F1059" s="140">
        <v>1.9390759176088181</v>
      </c>
    </row>
    <row r="1060" spans="1:6">
      <c r="A1060" s="149" t="s">
        <v>2962</v>
      </c>
      <c r="B1060" s="144" t="s">
        <v>1116</v>
      </c>
      <c r="C1060" s="44">
        <v>16161</v>
      </c>
      <c r="D1060" s="153">
        <f t="shared" si="16"/>
        <v>1.0100625000000001</v>
      </c>
      <c r="E1060" s="43">
        <v>29462.877100018064</v>
      </c>
      <c r="F1060" s="140">
        <v>1.9390759176088181</v>
      </c>
    </row>
    <row r="1061" spans="1:6">
      <c r="A1061" s="149" t="s">
        <v>2962</v>
      </c>
      <c r="B1061" s="144" t="s">
        <v>1117</v>
      </c>
      <c r="C1061" s="44">
        <v>16160</v>
      </c>
      <c r="D1061" s="153">
        <f t="shared" si="16"/>
        <v>1.01</v>
      </c>
      <c r="E1061" s="43">
        <v>29460.500963391136</v>
      </c>
      <c r="F1061" s="140">
        <v>1.9406762687778496</v>
      </c>
    </row>
    <row r="1062" spans="1:6">
      <c r="A1062" s="149" t="s">
        <v>2962</v>
      </c>
      <c r="B1062" s="144" t="s">
        <v>1118</v>
      </c>
      <c r="C1062" s="44">
        <v>16160</v>
      </c>
      <c r="D1062" s="153">
        <f t="shared" si="16"/>
        <v>1.01</v>
      </c>
      <c r="E1062" s="43">
        <v>29460.500963391136</v>
      </c>
      <c r="F1062" s="140">
        <v>1.9406762687778496</v>
      </c>
    </row>
    <row r="1063" spans="1:6">
      <c r="A1063" s="149" t="s">
        <v>2962</v>
      </c>
      <c r="B1063" s="144" t="s">
        <v>1119</v>
      </c>
      <c r="C1063" s="44">
        <v>16160</v>
      </c>
      <c r="D1063" s="153">
        <f t="shared" si="16"/>
        <v>1.01</v>
      </c>
      <c r="E1063" s="43">
        <v>29460.500963391136</v>
      </c>
      <c r="F1063" s="140">
        <v>1.9406762687778496</v>
      </c>
    </row>
    <row r="1064" spans="1:6">
      <c r="A1064" s="149" t="s">
        <v>2962</v>
      </c>
      <c r="B1064" s="144" t="s">
        <v>1120</v>
      </c>
      <c r="C1064" s="44">
        <v>16160</v>
      </c>
      <c r="D1064" s="153">
        <f t="shared" si="16"/>
        <v>1.01</v>
      </c>
      <c r="E1064" s="43">
        <v>29460.500963391136</v>
      </c>
      <c r="F1064" s="140">
        <v>1.9406762687778496</v>
      </c>
    </row>
    <row r="1065" spans="1:6">
      <c r="A1065" s="149" t="s">
        <v>2962</v>
      </c>
      <c r="B1065" s="144" t="s">
        <v>1121</v>
      </c>
      <c r="C1065" s="44">
        <v>16160</v>
      </c>
      <c r="D1065" s="153">
        <f t="shared" si="16"/>
        <v>1.01</v>
      </c>
      <c r="E1065" s="43">
        <v>29460.500963391136</v>
      </c>
      <c r="F1065" s="140">
        <v>1.9406762687778496</v>
      </c>
    </row>
    <row r="1066" spans="1:6">
      <c r="A1066" s="149" t="s">
        <v>2962</v>
      </c>
      <c r="B1066" s="144" t="s">
        <v>1122</v>
      </c>
      <c r="C1066" s="44">
        <v>16159</v>
      </c>
      <c r="D1066" s="153">
        <f t="shared" si="16"/>
        <v>1.0099374999999999</v>
      </c>
      <c r="E1066" s="43">
        <v>29458.125112890601</v>
      </c>
      <c r="F1066" s="140">
        <v>1.9422765722988515</v>
      </c>
    </row>
    <row r="1067" spans="1:6">
      <c r="A1067" s="149" t="s">
        <v>2962</v>
      </c>
      <c r="B1067" s="144" t="s">
        <v>1123</v>
      </c>
      <c r="C1067" s="44">
        <v>16159</v>
      </c>
      <c r="D1067" s="153">
        <f t="shared" si="16"/>
        <v>1.0099374999999999</v>
      </c>
      <c r="E1067" s="43">
        <v>29458.125112890601</v>
      </c>
      <c r="F1067" s="140">
        <v>1.9422765722988515</v>
      </c>
    </row>
    <row r="1068" spans="1:6">
      <c r="A1068" s="149" t="s">
        <v>2962</v>
      </c>
      <c r="B1068" s="144" t="s">
        <v>1124</v>
      </c>
      <c r="C1068" s="44">
        <v>16159</v>
      </c>
      <c r="D1068" s="153">
        <f t="shared" si="16"/>
        <v>1.0099374999999999</v>
      </c>
      <c r="E1068" s="43">
        <v>29458.125112890601</v>
      </c>
      <c r="F1068" s="140">
        <v>1.9422765722988515</v>
      </c>
    </row>
    <row r="1069" spans="1:6">
      <c r="A1069" s="149" t="s">
        <v>2962</v>
      </c>
      <c r="B1069" s="144" t="s">
        <v>1125</v>
      </c>
      <c r="C1069" s="44">
        <v>16159</v>
      </c>
      <c r="D1069" s="153">
        <f t="shared" si="16"/>
        <v>1.0099374999999999</v>
      </c>
      <c r="E1069" s="43">
        <v>29458.125112890601</v>
      </c>
      <c r="F1069" s="140">
        <v>1.9422765722988515</v>
      </c>
    </row>
    <row r="1070" spans="1:6">
      <c r="A1070" s="149" t="s">
        <v>2962</v>
      </c>
      <c r="B1070" s="144" t="s">
        <v>1126</v>
      </c>
      <c r="C1070" s="44">
        <v>16159</v>
      </c>
      <c r="D1070" s="153">
        <f t="shared" si="16"/>
        <v>1.0099374999999999</v>
      </c>
      <c r="E1070" s="43">
        <v>29458.125112890601</v>
      </c>
      <c r="F1070" s="140">
        <v>1.9422765722988515</v>
      </c>
    </row>
    <row r="1071" spans="1:6">
      <c r="A1071" s="149" t="s">
        <v>2962</v>
      </c>
      <c r="B1071" s="144" t="s">
        <v>1127</v>
      </c>
      <c r="C1071" s="44">
        <v>16159</v>
      </c>
      <c r="D1071" s="153">
        <f t="shared" si="16"/>
        <v>1.0099374999999999</v>
      </c>
      <c r="E1071" s="43">
        <v>29458.125112890601</v>
      </c>
      <c r="F1071" s="140">
        <v>1.9422765722988515</v>
      </c>
    </row>
    <row r="1072" spans="1:6">
      <c r="A1072" s="149" t="s">
        <v>2962</v>
      </c>
      <c r="B1072" s="144" t="s">
        <v>1128</v>
      </c>
      <c r="C1072" s="44">
        <v>16159</v>
      </c>
      <c r="D1072" s="153">
        <f t="shared" si="16"/>
        <v>1.0099374999999999</v>
      </c>
      <c r="E1072" s="43">
        <v>29458.125112890601</v>
      </c>
      <c r="F1072" s="140">
        <v>1.9422765722988515</v>
      </c>
    </row>
    <row r="1073" spans="1:6">
      <c r="A1073" s="149" t="s">
        <v>2962</v>
      </c>
      <c r="B1073" s="144" t="s">
        <v>1129</v>
      </c>
      <c r="C1073" s="44">
        <v>16159</v>
      </c>
      <c r="D1073" s="153">
        <f t="shared" si="16"/>
        <v>1.0099374999999999</v>
      </c>
      <c r="E1073" s="43">
        <v>29458.125112890601</v>
      </c>
      <c r="F1073" s="140">
        <v>1.9422765722988515</v>
      </c>
    </row>
    <row r="1074" spans="1:6">
      <c r="A1074" s="149" t="s">
        <v>2962</v>
      </c>
      <c r="B1074" s="144" t="s">
        <v>1130</v>
      </c>
      <c r="C1074" s="44">
        <v>16159</v>
      </c>
      <c r="D1074" s="153">
        <f t="shared" si="16"/>
        <v>1.0099374999999999</v>
      </c>
      <c r="E1074" s="43">
        <v>29458.125112890601</v>
      </c>
      <c r="F1074" s="140">
        <v>1.9422765722988515</v>
      </c>
    </row>
    <row r="1075" spans="1:6">
      <c r="A1075" s="149" t="s">
        <v>2962</v>
      </c>
      <c r="B1075" s="144" t="s">
        <v>1131</v>
      </c>
      <c r="C1075" s="44">
        <v>16158</v>
      </c>
      <c r="D1075" s="153">
        <f t="shared" si="16"/>
        <v>1.0098750000000001</v>
      </c>
      <c r="E1075" s="43">
        <v>29455.749548464781</v>
      </c>
      <c r="F1075" s="140">
        <v>1.9438768281792136</v>
      </c>
    </row>
    <row r="1076" spans="1:6">
      <c r="A1076" s="149" t="s">
        <v>2962</v>
      </c>
      <c r="B1076" s="144" t="s">
        <v>1132</v>
      </c>
      <c r="C1076" s="44">
        <v>16158</v>
      </c>
      <c r="D1076" s="153">
        <f t="shared" si="16"/>
        <v>1.0098750000000001</v>
      </c>
      <c r="E1076" s="43">
        <v>29455.749548464781</v>
      </c>
      <c r="F1076" s="140">
        <v>1.9438768281792136</v>
      </c>
    </row>
    <row r="1077" spans="1:6">
      <c r="A1077" s="149" t="s">
        <v>2962</v>
      </c>
      <c r="B1077" s="144" t="s">
        <v>1133</v>
      </c>
      <c r="C1077" s="44">
        <v>16158</v>
      </c>
      <c r="D1077" s="153">
        <f t="shared" si="16"/>
        <v>1.0098750000000001</v>
      </c>
      <c r="E1077" s="43">
        <v>29455.749548464781</v>
      </c>
      <c r="F1077" s="140">
        <v>1.9438768281792136</v>
      </c>
    </row>
    <row r="1078" spans="1:6">
      <c r="A1078" s="149" t="s">
        <v>2962</v>
      </c>
      <c r="B1078" s="144" t="s">
        <v>1134</v>
      </c>
      <c r="C1078" s="44">
        <v>16158</v>
      </c>
      <c r="D1078" s="153">
        <f t="shared" si="16"/>
        <v>1.0098750000000001</v>
      </c>
      <c r="E1078" s="43">
        <v>29455.749548464781</v>
      </c>
      <c r="F1078" s="140">
        <v>1.9438768281792136</v>
      </c>
    </row>
    <row r="1079" spans="1:6">
      <c r="A1079" s="149" t="s">
        <v>2962</v>
      </c>
      <c r="B1079" s="144" t="s">
        <v>1135</v>
      </c>
      <c r="C1079" s="44">
        <v>16158</v>
      </c>
      <c r="D1079" s="153">
        <f t="shared" si="16"/>
        <v>1.0098750000000001</v>
      </c>
      <c r="E1079" s="43">
        <v>29455.749548464781</v>
      </c>
      <c r="F1079" s="140">
        <v>1.9438768281792136</v>
      </c>
    </row>
    <row r="1080" spans="1:6">
      <c r="A1080" s="149" t="s">
        <v>2962</v>
      </c>
      <c r="B1080" s="144" t="s">
        <v>1136</v>
      </c>
      <c r="C1080" s="44">
        <v>16158</v>
      </c>
      <c r="D1080" s="153">
        <f t="shared" si="16"/>
        <v>1.0098750000000001</v>
      </c>
      <c r="E1080" s="43">
        <v>29455.749548464781</v>
      </c>
      <c r="F1080" s="140">
        <v>1.9438768281792136</v>
      </c>
    </row>
    <row r="1081" spans="1:6">
      <c r="A1081" s="149" t="s">
        <v>2962</v>
      </c>
      <c r="B1081" s="144" t="s">
        <v>1137</v>
      </c>
      <c r="C1081" s="44">
        <v>16158</v>
      </c>
      <c r="D1081" s="153">
        <f t="shared" si="16"/>
        <v>1.0098750000000001</v>
      </c>
      <c r="E1081" s="43">
        <v>29455.749548464781</v>
      </c>
      <c r="F1081" s="140">
        <v>1.9438768281792136</v>
      </c>
    </row>
    <row r="1082" spans="1:6">
      <c r="A1082" s="149" t="s">
        <v>2962</v>
      </c>
      <c r="B1082" s="144" t="s">
        <v>1138</v>
      </c>
      <c r="C1082" s="44">
        <v>16158</v>
      </c>
      <c r="D1082" s="153">
        <f t="shared" si="16"/>
        <v>1.0098750000000001</v>
      </c>
      <c r="E1082" s="43">
        <v>29455.749548464781</v>
      </c>
      <c r="F1082" s="140">
        <v>1.9438768281792136</v>
      </c>
    </row>
    <row r="1083" spans="1:6">
      <c r="A1083" s="149" t="s">
        <v>2962</v>
      </c>
      <c r="B1083" s="144" t="s">
        <v>1139</v>
      </c>
      <c r="C1083" s="44">
        <v>16158</v>
      </c>
      <c r="D1083" s="153">
        <f t="shared" si="16"/>
        <v>1.0098750000000001</v>
      </c>
      <c r="E1083" s="43">
        <v>29455.749548464781</v>
      </c>
      <c r="F1083" s="140">
        <v>1.9438768281792136</v>
      </c>
    </row>
    <row r="1084" spans="1:6">
      <c r="A1084" s="149" t="s">
        <v>2962</v>
      </c>
      <c r="B1084" s="144" t="s">
        <v>1140</v>
      </c>
      <c r="C1084" s="44">
        <v>16158</v>
      </c>
      <c r="D1084" s="153">
        <f t="shared" si="16"/>
        <v>1.0098750000000001</v>
      </c>
      <c r="E1084" s="43">
        <v>29455.749548464781</v>
      </c>
      <c r="F1084" s="140">
        <v>1.9438768281792136</v>
      </c>
    </row>
    <row r="1085" spans="1:6">
      <c r="A1085" s="149" t="s">
        <v>2962</v>
      </c>
      <c r="B1085" s="144" t="s">
        <v>1141</v>
      </c>
      <c r="C1085" s="44">
        <v>16157</v>
      </c>
      <c r="D1085" s="153">
        <f t="shared" si="16"/>
        <v>1.0098125</v>
      </c>
      <c r="E1085" s="43">
        <v>29453.374270062006</v>
      </c>
      <c r="F1085" s="140">
        <v>1.9454770364262117</v>
      </c>
    </row>
    <row r="1086" spans="1:6">
      <c r="A1086" s="149" t="s">
        <v>2962</v>
      </c>
      <c r="B1086" s="144" t="s">
        <v>1142</v>
      </c>
      <c r="C1086" s="44">
        <v>16157</v>
      </c>
      <c r="D1086" s="153">
        <f t="shared" si="16"/>
        <v>1.0098125</v>
      </c>
      <c r="E1086" s="43">
        <v>29453.374270062006</v>
      </c>
      <c r="F1086" s="140">
        <v>1.9454770364262117</v>
      </c>
    </row>
    <row r="1087" spans="1:6">
      <c r="A1087" s="149" t="s">
        <v>2962</v>
      </c>
      <c r="B1087" s="144" t="s">
        <v>1143</v>
      </c>
      <c r="C1087" s="44">
        <v>16157</v>
      </c>
      <c r="D1087" s="153">
        <f t="shared" si="16"/>
        <v>1.0098125</v>
      </c>
      <c r="E1087" s="43">
        <v>29453.374270062006</v>
      </c>
      <c r="F1087" s="140">
        <v>1.9454770364262117</v>
      </c>
    </row>
    <row r="1088" spans="1:6">
      <c r="A1088" s="149" t="s">
        <v>2962</v>
      </c>
      <c r="B1088" s="144" t="s">
        <v>1144</v>
      </c>
      <c r="C1088" s="44">
        <v>16157</v>
      </c>
      <c r="D1088" s="153">
        <f t="shared" si="16"/>
        <v>1.0098125</v>
      </c>
      <c r="E1088" s="43">
        <v>29453.374270062006</v>
      </c>
      <c r="F1088" s="140">
        <v>1.9454770364262117</v>
      </c>
    </row>
    <row r="1089" spans="1:6">
      <c r="A1089" s="149" t="s">
        <v>2962</v>
      </c>
      <c r="B1089" s="144" t="s">
        <v>1145</v>
      </c>
      <c r="C1089" s="44">
        <v>16157</v>
      </c>
      <c r="D1089" s="153">
        <f t="shared" si="16"/>
        <v>1.0098125</v>
      </c>
      <c r="E1089" s="43">
        <v>29453.374270062006</v>
      </c>
      <c r="F1089" s="140">
        <v>1.9454770364262117</v>
      </c>
    </row>
    <row r="1090" spans="1:6">
      <c r="A1090" s="149" t="s">
        <v>2962</v>
      </c>
      <c r="B1090" s="144" t="s">
        <v>1146</v>
      </c>
      <c r="C1090" s="44">
        <v>16157</v>
      </c>
      <c r="D1090" s="153">
        <f t="shared" si="16"/>
        <v>1.0098125</v>
      </c>
      <c r="E1090" s="43">
        <v>29453.374270062006</v>
      </c>
      <c r="F1090" s="140">
        <v>1.9454770364262117</v>
      </c>
    </row>
    <row r="1091" spans="1:6">
      <c r="A1091" s="149" t="s">
        <v>2962</v>
      </c>
      <c r="B1091" s="144" t="s">
        <v>1147</v>
      </c>
      <c r="C1091" s="44">
        <v>16157</v>
      </c>
      <c r="D1091" s="153">
        <f t="shared" si="16"/>
        <v>1.0098125</v>
      </c>
      <c r="E1091" s="43">
        <v>29453.374270062006</v>
      </c>
      <c r="F1091" s="140">
        <v>1.9454770364262117</v>
      </c>
    </row>
    <row r="1092" spans="1:6">
      <c r="A1092" s="149" t="s">
        <v>2962</v>
      </c>
      <c r="B1092" s="144" t="s">
        <v>1148</v>
      </c>
      <c r="C1092" s="44">
        <v>16157</v>
      </c>
      <c r="D1092" s="153">
        <f t="shared" si="16"/>
        <v>1.0098125</v>
      </c>
      <c r="E1092" s="43">
        <v>29453.374270062006</v>
      </c>
      <c r="F1092" s="140">
        <v>1.9454770364262117</v>
      </c>
    </row>
    <row r="1093" spans="1:6">
      <c r="A1093" s="149" t="s">
        <v>2962</v>
      </c>
      <c r="B1093" s="144" t="s">
        <v>1149</v>
      </c>
      <c r="C1093" s="44">
        <v>16157</v>
      </c>
      <c r="D1093" s="153">
        <f t="shared" si="16"/>
        <v>1.0098125</v>
      </c>
      <c r="E1093" s="43">
        <v>29453.374270062006</v>
      </c>
      <c r="F1093" s="140">
        <v>1.9454770364262117</v>
      </c>
    </row>
    <row r="1094" spans="1:6">
      <c r="A1094" s="149" t="s">
        <v>2962</v>
      </c>
      <c r="B1094" s="144" t="s">
        <v>1150</v>
      </c>
      <c r="C1094" s="44">
        <v>16157</v>
      </c>
      <c r="D1094" s="153">
        <f t="shared" si="16"/>
        <v>1.0098125</v>
      </c>
      <c r="E1094" s="43">
        <v>29453.374270062006</v>
      </c>
      <c r="F1094" s="140">
        <v>1.9454770364262117</v>
      </c>
    </row>
    <row r="1095" spans="1:6">
      <c r="A1095" s="149" t="s">
        <v>2962</v>
      </c>
      <c r="B1095" s="144" t="s">
        <v>1151</v>
      </c>
      <c r="C1095" s="44">
        <v>16157</v>
      </c>
      <c r="D1095" s="153">
        <f t="shared" ref="D1095:D1158" si="17">C1095/32768*4.096/2</f>
        <v>1.0098125</v>
      </c>
      <c r="E1095" s="43">
        <v>29453.374270062006</v>
      </c>
      <c r="F1095" s="140">
        <v>1.9454770364262117</v>
      </c>
    </row>
    <row r="1096" spans="1:6">
      <c r="A1096" s="149" t="s">
        <v>2962</v>
      </c>
      <c r="B1096" s="144" t="s">
        <v>1152</v>
      </c>
      <c r="C1096" s="44">
        <v>16157</v>
      </c>
      <c r="D1096" s="153">
        <f t="shared" si="17"/>
        <v>1.0098125</v>
      </c>
      <c r="E1096" s="43">
        <v>29453.374270062006</v>
      </c>
      <c r="F1096" s="140">
        <v>1.9454770364262117</v>
      </c>
    </row>
    <row r="1097" spans="1:6">
      <c r="A1097" s="149" t="s">
        <v>2962</v>
      </c>
      <c r="B1097" s="144" t="s">
        <v>1153</v>
      </c>
      <c r="C1097" s="44">
        <v>16157</v>
      </c>
      <c r="D1097" s="153">
        <f t="shared" si="17"/>
        <v>1.0098125</v>
      </c>
      <c r="E1097" s="43">
        <v>29453.374270062006</v>
      </c>
      <c r="F1097" s="140">
        <v>1.9454770364262117</v>
      </c>
    </row>
    <row r="1098" spans="1:6">
      <c r="A1098" s="149" t="s">
        <v>2962</v>
      </c>
      <c r="B1098" s="144" t="s">
        <v>1154</v>
      </c>
      <c r="C1098" s="44">
        <v>16157</v>
      </c>
      <c r="D1098" s="153">
        <f t="shared" si="17"/>
        <v>1.0098125</v>
      </c>
      <c r="E1098" s="43">
        <v>29453.374270062006</v>
      </c>
      <c r="F1098" s="140">
        <v>1.9454770364262117</v>
      </c>
    </row>
    <row r="1099" spans="1:6">
      <c r="A1099" s="149" t="s">
        <v>2962</v>
      </c>
      <c r="B1099" s="144" t="s">
        <v>1155</v>
      </c>
      <c r="C1099" s="44">
        <v>16156</v>
      </c>
      <c r="D1099" s="153">
        <f t="shared" si="17"/>
        <v>1.0097499999999999</v>
      </c>
      <c r="E1099" s="43">
        <v>29450.999277630628</v>
      </c>
      <c r="F1099" s="140">
        <v>1.9470771970472924</v>
      </c>
    </row>
    <row r="1100" spans="1:6">
      <c r="A1100" s="149" t="s">
        <v>2962</v>
      </c>
      <c r="B1100" s="144" t="s">
        <v>1156</v>
      </c>
      <c r="C1100" s="44">
        <v>16156</v>
      </c>
      <c r="D1100" s="153">
        <f t="shared" si="17"/>
        <v>1.0097499999999999</v>
      </c>
      <c r="E1100" s="43">
        <v>29450.999277630628</v>
      </c>
      <c r="F1100" s="140">
        <v>1.9470771970472924</v>
      </c>
    </row>
    <row r="1101" spans="1:6">
      <c r="A1101" s="149" t="s">
        <v>2962</v>
      </c>
      <c r="B1101" s="144" t="s">
        <v>1157</v>
      </c>
      <c r="C1101" s="44">
        <v>16156</v>
      </c>
      <c r="D1101" s="153">
        <f t="shared" si="17"/>
        <v>1.0097499999999999</v>
      </c>
      <c r="E1101" s="43">
        <v>29450.999277630628</v>
      </c>
      <c r="F1101" s="140">
        <v>1.9470771970472924</v>
      </c>
    </row>
    <row r="1102" spans="1:6">
      <c r="A1102" s="149" t="s">
        <v>2962</v>
      </c>
      <c r="B1102" s="144" t="s">
        <v>1158</v>
      </c>
      <c r="C1102" s="44">
        <v>16156</v>
      </c>
      <c r="D1102" s="153">
        <f t="shared" si="17"/>
        <v>1.0097499999999999</v>
      </c>
      <c r="E1102" s="43">
        <v>29450.999277630628</v>
      </c>
      <c r="F1102" s="140">
        <v>1.9470771970472924</v>
      </c>
    </row>
    <row r="1103" spans="1:6">
      <c r="A1103" s="149" t="s">
        <v>2962</v>
      </c>
      <c r="B1103" s="144" t="s">
        <v>1159</v>
      </c>
      <c r="C1103" s="44">
        <v>16156</v>
      </c>
      <c r="D1103" s="153">
        <f t="shared" si="17"/>
        <v>1.0097499999999999</v>
      </c>
      <c r="E1103" s="43">
        <v>29450.999277630628</v>
      </c>
      <c r="F1103" s="140">
        <v>1.9470771970472924</v>
      </c>
    </row>
    <row r="1104" spans="1:6">
      <c r="A1104" s="149" t="s">
        <v>2962</v>
      </c>
      <c r="B1104" s="144" t="s">
        <v>1160</v>
      </c>
      <c r="C1104" s="44">
        <v>16156</v>
      </c>
      <c r="D1104" s="153">
        <f t="shared" si="17"/>
        <v>1.0097499999999999</v>
      </c>
      <c r="E1104" s="43">
        <v>29450.999277630628</v>
      </c>
      <c r="F1104" s="140">
        <v>1.9470771970472924</v>
      </c>
    </row>
    <row r="1105" spans="1:6">
      <c r="A1105" s="149" t="s">
        <v>2962</v>
      </c>
      <c r="B1105" s="144" t="s">
        <v>1161</v>
      </c>
      <c r="C1105" s="44">
        <v>16156</v>
      </c>
      <c r="D1105" s="153">
        <f t="shared" si="17"/>
        <v>1.0097499999999999</v>
      </c>
      <c r="E1105" s="43">
        <v>29450.999277630628</v>
      </c>
      <c r="F1105" s="140">
        <v>1.9470771970472924</v>
      </c>
    </row>
    <row r="1106" spans="1:6">
      <c r="A1106" s="149" t="s">
        <v>2962</v>
      </c>
      <c r="B1106" s="144" t="s">
        <v>1162</v>
      </c>
      <c r="C1106" s="44">
        <v>16156</v>
      </c>
      <c r="D1106" s="153">
        <f t="shared" si="17"/>
        <v>1.0097499999999999</v>
      </c>
      <c r="E1106" s="43">
        <v>29450.999277630628</v>
      </c>
      <c r="F1106" s="140">
        <v>1.9470771970472924</v>
      </c>
    </row>
    <row r="1107" spans="1:6">
      <c r="A1107" s="149" t="s">
        <v>2962</v>
      </c>
      <c r="B1107" s="144" t="s">
        <v>1163</v>
      </c>
      <c r="C1107" s="44">
        <v>16156</v>
      </c>
      <c r="D1107" s="153">
        <f t="shared" si="17"/>
        <v>1.0097499999999999</v>
      </c>
      <c r="E1107" s="43">
        <v>29450.999277630628</v>
      </c>
      <c r="F1107" s="140">
        <v>1.9470771970472924</v>
      </c>
    </row>
    <row r="1108" spans="1:6">
      <c r="A1108" s="149" t="s">
        <v>2962</v>
      </c>
      <c r="B1108" s="144" t="s">
        <v>1164</v>
      </c>
      <c r="C1108" s="44">
        <v>16156</v>
      </c>
      <c r="D1108" s="153">
        <f t="shared" si="17"/>
        <v>1.0097499999999999</v>
      </c>
      <c r="E1108" s="43">
        <v>29450.999277630628</v>
      </c>
      <c r="F1108" s="140">
        <v>1.9470771970472924</v>
      </c>
    </row>
    <row r="1109" spans="1:6">
      <c r="A1109" s="149" t="s">
        <v>2962</v>
      </c>
      <c r="B1109" s="144" t="s">
        <v>1165</v>
      </c>
      <c r="C1109" s="44">
        <v>16156</v>
      </c>
      <c r="D1109" s="153">
        <f t="shared" si="17"/>
        <v>1.0097499999999999</v>
      </c>
      <c r="E1109" s="43">
        <v>29450.999277630628</v>
      </c>
      <c r="F1109" s="140">
        <v>1.9470771970472924</v>
      </c>
    </row>
    <row r="1110" spans="1:6">
      <c r="A1110" s="149" t="s">
        <v>2962</v>
      </c>
      <c r="B1110" s="144" t="s">
        <v>1166</v>
      </c>
      <c r="C1110" s="44">
        <v>16156</v>
      </c>
      <c r="D1110" s="153">
        <f t="shared" si="17"/>
        <v>1.0097499999999999</v>
      </c>
      <c r="E1110" s="43">
        <v>29450.999277630628</v>
      </c>
      <c r="F1110" s="140">
        <v>1.9470771970472924</v>
      </c>
    </row>
    <row r="1111" spans="1:6">
      <c r="A1111" s="149" t="s">
        <v>2962</v>
      </c>
      <c r="B1111" s="144" t="s">
        <v>1167</v>
      </c>
      <c r="C1111" s="44">
        <v>16156</v>
      </c>
      <c r="D1111" s="153">
        <f t="shared" si="17"/>
        <v>1.0097499999999999</v>
      </c>
      <c r="E1111" s="43">
        <v>29450.999277630628</v>
      </c>
      <c r="F1111" s="140">
        <v>1.9470771970472924</v>
      </c>
    </row>
    <row r="1112" spans="1:6">
      <c r="A1112" s="149" t="s">
        <v>2962</v>
      </c>
      <c r="B1112" s="144" t="s">
        <v>1168</v>
      </c>
      <c r="C1112" s="44">
        <v>16156</v>
      </c>
      <c r="D1112" s="153">
        <f t="shared" si="17"/>
        <v>1.0097499999999999</v>
      </c>
      <c r="E1112" s="43">
        <v>29450.999277630628</v>
      </c>
      <c r="F1112" s="140">
        <v>1.9470771970472924</v>
      </c>
    </row>
    <row r="1113" spans="1:6">
      <c r="A1113" s="149" t="s">
        <v>2962</v>
      </c>
      <c r="B1113" s="144" t="s">
        <v>1169</v>
      </c>
      <c r="C1113" s="44">
        <v>16156</v>
      </c>
      <c r="D1113" s="153">
        <f t="shared" si="17"/>
        <v>1.0097499999999999</v>
      </c>
      <c r="E1113" s="43">
        <v>29450.999277630628</v>
      </c>
      <c r="F1113" s="140">
        <v>1.9470771970472924</v>
      </c>
    </row>
    <row r="1114" spans="1:6">
      <c r="A1114" s="149" t="s">
        <v>2962</v>
      </c>
      <c r="B1114" s="144" t="s">
        <v>1170</v>
      </c>
      <c r="C1114" s="44">
        <v>16156</v>
      </c>
      <c r="D1114" s="153">
        <f t="shared" si="17"/>
        <v>1.0097499999999999</v>
      </c>
      <c r="E1114" s="43">
        <v>29450.999277630628</v>
      </c>
      <c r="F1114" s="140">
        <v>1.9470771970472924</v>
      </c>
    </row>
    <row r="1115" spans="1:6">
      <c r="A1115" s="149" t="s">
        <v>2962</v>
      </c>
      <c r="B1115" s="144" t="s">
        <v>1171</v>
      </c>
      <c r="C1115" s="44">
        <v>16156</v>
      </c>
      <c r="D1115" s="153">
        <f t="shared" si="17"/>
        <v>1.0097499999999999</v>
      </c>
      <c r="E1115" s="43">
        <v>29450.999277630628</v>
      </c>
      <c r="F1115" s="140">
        <v>1.9470771970472924</v>
      </c>
    </row>
    <row r="1116" spans="1:6">
      <c r="A1116" s="149" t="s">
        <v>2962</v>
      </c>
      <c r="B1116" s="144" t="s">
        <v>1172</v>
      </c>
      <c r="C1116" s="44">
        <v>16156</v>
      </c>
      <c r="D1116" s="153">
        <f t="shared" si="17"/>
        <v>1.0097499999999999</v>
      </c>
      <c r="E1116" s="43">
        <v>29450.999277630628</v>
      </c>
      <c r="F1116" s="140">
        <v>1.9470771970472924</v>
      </c>
    </row>
    <row r="1117" spans="1:6">
      <c r="A1117" s="149" t="s">
        <v>2962</v>
      </c>
      <c r="B1117" s="144" t="s">
        <v>1173</v>
      </c>
      <c r="C1117" s="44">
        <v>16156</v>
      </c>
      <c r="D1117" s="153">
        <f t="shared" si="17"/>
        <v>1.0097499999999999</v>
      </c>
      <c r="E1117" s="43">
        <v>29450.999277630628</v>
      </c>
      <c r="F1117" s="140">
        <v>1.9470771970472924</v>
      </c>
    </row>
    <row r="1118" spans="1:6">
      <c r="A1118" s="149" t="s">
        <v>2962</v>
      </c>
      <c r="B1118" s="144" t="s">
        <v>1174</v>
      </c>
      <c r="C1118" s="44">
        <v>16155</v>
      </c>
      <c r="D1118" s="153">
        <f t="shared" si="17"/>
        <v>1.0096875000000001</v>
      </c>
      <c r="E1118" s="43">
        <v>29448.624571119002</v>
      </c>
      <c r="F1118" s="140">
        <v>1.948677310049618</v>
      </c>
    </row>
    <row r="1119" spans="1:6">
      <c r="A1119" s="149" t="s">
        <v>2962</v>
      </c>
      <c r="B1119" s="144" t="s">
        <v>1175</v>
      </c>
      <c r="C1119" s="44">
        <v>16155</v>
      </c>
      <c r="D1119" s="153">
        <f t="shared" si="17"/>
        <v>1.0096875000000001</v>
      </c>
      <c r="E1119" s="43">
        <v>29448.624571119002</v>
      </c>
      <c r="F1119" s="140">
        <v>1.948677310049618</v>
      </c>
    </row>
    <row r="1120" spans="1:6">
      <c r="A1120" s="149" t="s">
        <v>2962</v>
      </c>
      <c r="B1120" s="144" t="s">
        <v>1176</v>
      </c>
      <c r="C1120" s="44">
        <v>16155</v>
      </c>
      <c r="D1120" s="153">
        <f t="shared" si="17"/>
        <v>1.0096875000000001</v>
      </c>
      <c r="E1120" s="43">
        <v>29448.624571119002</v>
      </c>
      <c r="F1120" s="140">
        <v>1.948677310049618</v>
      </c>
    </row>
    <row r="1121" spans="1:6">
      <c r="A1121" s="149" t="s">
        <v>2962</v>
      </c>
      <c r="B1121" s="144" t="s">
        <v>1177</v>
      </c>
      <c r="C1121" s="44">
        <v>16155</v>
      </c>
      <c r="D1121" s="153">
        <f t="shared" si="17"/>
        <v>1.0096875000000001</v>
      </c>
      <c r="E1121" s="43">
        <v>29448.624571119002</v>
      </c>
      <c r="F1121" s="140">
        <v>1.948677310049618</v>
      </c>
    </row>
    <row r="1122" spans="1:6">
      <c r="A1122" s="149" t="s">
        <v>2962</v>
      </c>
      <c r="B1122" s="144" t="s">
        <v>1178</v>
      </c>
      <c r="C1122" s="44">
        <v>16155</v>
      </c>
      <c r="D1122" s="153">
        <f t="shared" si="17"/>
        <v>1.0096875000000001</v>
      </c>
      <c r="E1122" s="43">
        <v>29448.624571119002</v>
      </c>
      <c r="F1122" s="140">
        <v>1.948677310049618</v>
      </c>
    </row>
    <row r="1123" spans="1:6">
      <c r="A1123" s="149" t="s">
        <v>2962</v>
      </c>
      <c r="B1123" s="144" t="s">
        <v>1179</v>
      </c>
      <c r="C1123" s="44">
        <v>16155</v>
      </c>
      <c r="D1123" s="153">
        <f t="shared" si="17"/>
        <v>1.0096875000000001</v>
      </c>
      <c r="E1123" s="43">
        <v>29448.624571119002</v>
      </c>
      <c r="F1123" s="140">
        <v>1.948677310049618</v>
      </c>
    </row>
    <row r="1124" spans="1:6">
      <c r="A1124" s="149" t="s">
        <v>2962</v>
      </c>
      <c r="B1124" s="144" t="s">
        <v>1180</v>
      </c>
      <c r="C1124" s="44">
        <v>16155</v>
      </c>
      <c r="D1124" s="153">
        <f t="shared" si="17"/>
        <v>1.0096875000000001</v>
      </c>
      <c r="E1124" s="43">
        <v>29448.624571119002</v>
      </c>
      <c r="F1124" s="140">
        <v>1.948677310049618</v>
      </c>
    </row>
    <row r="1125" spans="1:6">
      <c r="A1125" s="149" t="s">
        <v>2962</v>
      </c>
      <c r="B1125" s="144" t="s">
        <v>1181</v>
      </c>
      <c r="C1125" s="44">
        <v>16155</v>
      </c>
      <c r="D1125" s="153">
        <f t="shared" si="17"/>
        <v>1.0096875000000001</v>
      </c>
      <c r="E1125" s="43">
        <v>29448.624571119002</v>
      </c>
      <c r="F1125" s="140">
        <v>1.948677310049618</v>
      </c>
    </row>
    <row r="1126" spans="1:6">
      <c r="A1126" s="149" t="s">
        <v>2962</v>
      </c>
      <c r="B1126" s="144" t="s">
        <v>1182</v>
      </c>
      <c r="C1126" s="44">
        <v>16155</v>
      </c>
      <c r="D1126" s="153">
        <f t="shared" si="17"/>
        <v>1.0096875000000001</v>
      </c>
      <c r="E1126" s="43">
        <v>29448.624571119002</v>
      </c>
      <c r="F1126" s="140">
        <v>1.948677310049618</v>
      </c>
    </row>
    <row r="1127" spans="1:6">
      <c r="A1127" s="149" t="s">
        <v>2962</v>
      </c>
      <c r="B1127" s="144" t="s">
        <v>1183</v>
      </c>
      <c r="C1127" s="44">
        <v>16155</v>
      </c>
      <c r="D1127" s="153">
        <f t="shared" si="17"/>
        <v>1.0096875000000001</v>
      </c>
      <c r="E1127" s="43">
        <v>29448.624571119002</v>
      </c>
      <c r="F1127" s="140">
        <v>1.948677310049618</v>
      </c>
    </row>
    <row r="1128" spans="1:6">
      <c r="A1128" s="149" t="s">
        <v>2962</v>
      </c>
      <c r="B1128" s="144" t="s">
        <v>1184</v>
      </c>
      <c r="C1128" s="44">
        <v>16155</v>
      </c>
      <c r="D1128" s="153">
        <f t="shared" si="17"/>
        <v>1.0096875000000001</v>
      </c>
      <c r="E1128" s="43">
        <v>29448.624571119002</v>
      </c>
      <c r="F1128" s="140">
        <v>1.948677310049618</v>
      </c>
    </row>
    <row r="1129" spans="1:6">
      <c r="A1129" s="149" t="s">
        <v>2962</v>
      </c>
      <c r="B1129" s="144" t="s">
        <v>1185</v>
      </c>
      <c r="C1129" s="44">
        <v>16155</v>
      </c>
      <c r="D1129" s="153">
        <f t="shared" si="17"/>
        <v>1.0096875000000001</v>
      </c>
      <c r="E1129" s="43">
        <v>29448.624571119002</v>
      </c>
      <c r="F1129" s="140">
        <v>1.948677310049618</v>
      </c>
    </row>
    <row r="1130" spans="1:6">
      <c r="A1130" s="149" t="s">
        <v>2962</v>
      </c>
      <c r="B1130" s="144" t="s">
        <v>1186</v>
      </c>
      <c r="C1130" s="44">
        <v>16155</v>
      </c>
      <c r="D1130" s="153">
        <f t="shared" si="17"/>
        <v>1.0096875000000001</v>
      </c>
      <c r="E1130" s="43">
        <v>29448.624571119002</v>
      </c>
      <c r="F1130" s="140">
        <v>1.948677310049618</v>
      </c>
    </row>
    <row r="1131" spans="1:6">
      <c r="A1131" s="149" t="s">
        <v>2962</v>
      </c>
      <c r="B1131" s="144" t="s">
        <v>1187</v>
      </c>
      <c r="C1131" s="44">
        <v>16155</v>
      </c>
      <c r="D1131" s="153">
        <f t="shared" si="17"/>
        <v>1.0096875000000001</v>
      </c>
      <c r="E1131" s="43">
        <v>29448.624571119002</v>
      </c>
      <c r="F1131" s="140">
        <v>1.948677310049618</v>
      </c>
    </row>
    <row r="1132" spans="1:6">
      <c r="A1132" s="149" t="s">
        <v>2962</v>
      </c>
      <c r="B1132" s="144" t="s">
        <v>1188</v>
      </c>
      <c r="C1132" s="44">
        <v>16155</v>
      </c>
      <c r="D1132" s="153">
        <f t="shared" si="17"/>
        <v>1.0096875000000001</v>
      </c>
      <c r="E1132" s="43">
        <v>29448.624571119002</v>
      </c>
      <c r="F1132" s="140">
        <v>1.948677310049618</v>
      </c>
    </row>
    <row r="1133" spans="1:6">
      <c r="A1133" s="149" t="s">
        <v>2962</v>
      </c>
      <c r="B1133" s="144" t="s">
        <v>1189</v>
      </c>
      <c r="C1133" s="44">
        <v>16155</v>
      </c>
      <c r="D1133" s="153">
        <f t="shared" si="17"/>
        <v>1.0096875000000001</v>
      </c>
      <c r="E1133" s="43">
        <v>29448.624571119002</v>
      </c>
      <c r="F1133" s="140">
        <v>1.948677310049618</v>
      </c>
    </row>
    <row r="1134" spans="1:6">
      <c r="A1134" s="149" t="s">
        <v>2962</v>
      </c>
      <c r="B1134" s="144" t="s">
        <v>1190</v>
      </c>
      <c r="C1134" s="44">
        <v>16155</v>
      </c>
      <c r="D1134" s="153">
        <f t="shared" si="17"/>
        <v>1.0096875000000001</v>
      </c>
      <c r="E1134" s="43">
        <v>29448.624571119002</v>
      </c>
      <c r="F1134" s="140">
        <v>1.948677310049618</v>
      </c>
    </row>
    <row r="1135" spans="1:6">
      <c r="A1135" s="149" t="s">
        <v>2962</v>
      </c>
      <c r="B1135" s="144" t="s">
        <v>1191</v>
      </c>
      <c r="C1135" s="44">
        <v>16155</v>
      </c>
      <c r="D1135" s="153">
        <f t="shared" si="17"/>
        <v>1.0096875000000001</v>
      </c>
      <c r="E1135" s="43">
        <v>29448.624571119002</v>
      </c>
      <c r="F1135" s="140">
        <v>1.948677310049618</v>
      </c>
    </row>
    <row r="1136" spans="1:6">
      <c r="A1136" s="149" t="s">
        <v>2962</v>
      </c>
      <c r="B1136" s="144" t="s">
        <v>1192</v>
      </c>
      <c r="C1136" s="44">
        <v>16155</v>
      </c>
      <c r="D1136" s="153">
        <f t="shared" si="17"/>
        <v>1.0096875000000001</v>
      </c>
      <c r="E1136" s="43">
        <v>29448.624571119002</v>
      </c>
      <c r="F1136" s="140">
        <v>1.948677310049618</v>
      </c>
    </row>
    <row r="1137" spans="1:6">
      <c r="A1137" s="149" t="s">
        <v>2962</v>
      </c>
      <c r="B1137" s="144" t="s">
        <v>1193</v>
      </c>
      <c r="C1137" s="44">
        <v>16155</v>
      </c>
      <c r="D1137" s="153">
        <f t="shared" si="17"/>
        <v>1.0096875000000001</v>
      </c>
      <c r="E1137" s="43">
        <v>29448.624571119002</v>
      </c>
      <c r="F1137" s="140">
        <v>1.948677310049618</v>
      </c>
    </row>
    <row r="1138" spans="1:6">
      <c r="A1138" s="149" t="s">
        <v>2962</v>
      </c>
      <c r="B1138" s="144" t="s">
        <v>1194</v>
      </c>
      <c r="C1138" s="44">
        <v>16155</v>
      </c>
      <c r="D1138" s="153">
        <f t="shared" si="17"/>
        <v>1.0096875000000001</v>
      </c>
      <c r="E1138" s="43">
        <v>29448.624571119002</v>
      </c>
      <c r="F1138" s="140">
        <v>1.948677310049618</v>
      </c>
    </row>
    <row r="1139" spans="1:6">
      <c r="A1139" s="149" t="s">
        <v>2962</v>
      </c>
      <c r="B1139" s="144" t="s">
        <v>1195</v>
      </c>
      <c r="C1139" s="44">
        <v>16155</v>
      </c>
      <c r="D1139" s="153">
        <f t="shared" si="17"/>
        <v>1.0096875000000001</v>
      </c>
      <c r="E1139" s="43">
        <v>29448.624571119002</v>
      </c>
      <c r="F1139" s="140">
        <v>1.948677310049618</v>
      </c>
    </row>
    <row r="1140" spans="1:6">
      <c r="A1140" s="149" t="s">
        <v>2962</v>
      </c>
      <c r="B1140" s="144" t="s">
        <v>1196</v>
      </c>
      <c r="C1140" s="44">
        <v>16155</v>
      </c>
      <c r="D1140" s="153">
        <f t="shared" si="17"/>
        <v>1.0096875000000001</v>
      </c>
      <c r="E1140" s="43">
        <v>29448.624571119002</v>
      </c>
      <c r="F1140" s="140">
        <v>1.948677310049618</v>
      </c>
    </row>
    <row r="1141" spans="1:6">
      <c r="A1141" s="149" t="s">
        <v>2962</v>
      </c>
      <c r="B1141" s="144" t="s">
        <v>1197</v>
      </c>
      <c r="C1141" s="44">
        <v>16155</v>
      </c>
      <c r="D1141" s="153">
        <f t="shared" si="17"/>
        <v>1.0096875000000001</v>
      </c>
      <c r="E1141" s="43">
        <v>29448.624571119002</v>
      </c>
      <c r="F1141" s="140">
        <v>1.948677310049618</v>
      </c>
    </row>
    <row r="1142" spans="1:6">
      <c r="A1142" s="149" t="s">
        <v>2962</v>
      </c>
      <c r="B1142" s="144" t="s">
        <v>1198</v>
      </c>
      <c r="C1142" s="44">
        <v>16155</v>
      </c>
      <c r="D1142" s="153">
        <f t="shared" si="17"/>
        <v>1.0096875000000001</v>
      </c>
      <c r="E1142" s="43">
        <v>29448.624571119002</v>
      </c>
      <c r="F1142" s="140">
        <v>1.948677310049618</v>
      </c>
    </row>
    <row r="1143" spans="1:6">
      <c r="A1143" s="149" t="s">
        <v>2962</v>
      </c>
      <c r="B1143" s="144" t="s">
        <v>1199</v>
      </c>
      <c r="C1143" s="44">
        <v>16155</v>
      </c>
      <c r="D1143" s="153">
        <f t="shared" si="17"/>
        <v>1.0096875000000001</v>
      </c>
      <c r="E1143" s="43">
        <v>29448.624571119002</v>
      </c>
      <c r="F1143" s="140">
        <v>1.948677310049618</v>
      </c>
    </row>
    <row r="1144" spans="1:6">
      <c r="A1144" s="149" t="s">
        <v>2962</v>
      </c>
      <c r="B1144" s="144" t="s">
        <v>1200</v>
      </c>
      <c r="C1144" s="44">
        <v>16154</v>
      </c>
      <c r="D1144" s="153">
        <f t="shared" si="17"/>
        <v>1.009625</v>
      </c>
      <c r="E1144" s="43">
        <v>29446.250150475502</v>
      </c>
      <c r="F1144" s="140">
        <v>1.9502773754408054</v>
      </c>
    </row>
    <row r="1145" spans="1:6">
      <c r="A1145" s="149" t="s">
        <v>2962</v>
      </c>
      <c r="B1145" s="144" t="s">
        <v>1201</v>
      </c>
      <c r="C1145" s="44">
        <v>16155</v>
      </c>
      <c r="D1145" s="153">
        <f t="shared" si="17"/>
        <v>1.0096875000000001</v>
      </c>
      <c r="E1145" s="43">
        <v>29448.624571119002</v>
      </c>
      <c r="F1145" s="140">
        <v>1.948677310049618</v>
      </c>
    </row>
    <row r="1146" spans="1:6">
      <c r="A1146" s="149" t="s">
        <v>2962</v>
      </c>
      <c r="B1146" s="144" t="s">
        <v>1202</v>
      </c>
      <c r="C1146" s="44">
        <v>16155</v>
      </c>
      <c r="D1146" s="153">
        <f t="shared" si="17"/>
        <v>1.0096875000000001</v>
      </c>
      <c r="E1146" s="43">
        <v>29448.624571119002</v>
      </c>
      <c r="F1146" s="140">
        <v>1.948677310049618</v>
      </c>
    </row>
    <row r="1147" spans="1:6">
      <c r="A1147" s="149" t="s">
        <v>2962</v>
      </c>
      <c r="B1147" s="144" t="s">
        <v>1203</v>
      </c>
      <c r="C1147" s="44">
        <v>16154</v>
      </c>
      <c r="D1147" s="153">
        <f t="shared" si="17"/>
        <v>1.009625</v>
      </c>
      <c r="E1147" s="43">
        <v>29446.250150475502</v>
      </c>
      <c r="F1147" s="140">
        <v>1.9502773754408054</v>
      </c>
    </row>
    <row r="1148" spans="1:6">
      <c r="A1148" s="149" t="s">
        <v>2962</v>
      </c>
      <c r="B1148" s="144" t="s">
        <v>1204</v>
      </c>
      <c r="C1148" s="44">
        <v>16155</v>
      </c>
      <c r="D1148" s="153">
        <f t="shared" si="17"/>
        <v>1.0096875000000001</v>
      </c>
      <c r="E1148" s="43">
        <v>29448.624571119002</v>
      </c>
      <c r="F1148" s="140">
        <v>1.948677310049618</v>
      </c>
    </row>
    <row r="1149" spans="1:6">
      <c r="A1149" s="149" t="s">
        <v>2962</v>
      </c>
      <c r="B1149" s="144" t="s">
        <v>1205</v>
      </c>
      <c r="C1149" s="44">
        <v>16155</v>
      </c>
      <c r="D1149" s="153">
        <f t="shared" si="17"/>
        <v>1.0096875000000001</v>
      </c>
      <c r="E1149" s="43">
        <v>29448.624571119002</v>
      </c>
      <c r="F1149" s="140">
        <v>1.948677310049618</v>
      </c>
    </row>
    <row r="1150" spans="1:6">
      <c r="A1150" s="149" t="s">
        <v>2962</v>
      </c>
      <c r="B1150" s="144" t="s">
        <v>1206</v>
      </c>
      <c r="C1150" s="44">
        <v>16154</v>
      </c>
      <c r="D1150" s="153">
        <f t="shared" si="17"/>
        <v>1.009625</v>
      </c>
      <c r="E1150" s="43">
        <v>29446.250150475502</v>
      </c>
      <c r="F1150" s="140">
        <v>1.9502773754408054</v>
      </c>
    </row>
    <row r="1151" spans="1:6">
      <c r="A1151" s="149" t="s">
        <v>2962</v>
      </c>
      <c r="B1151" s="144" t="s">
        <v>1207</v>
      </c>
      <c r="C1151" s="44">
        <v>16154</v>
      </c>
      <c r="D1151" s="153">
        <f t="shared" si="17"/>
        <v>1.009625</v>
      </c>
      <c r="E1151" s="43">
        <v>29446.250150475502</v>
      </c>
      <c r="F1151" s="140">
        <v>1.9502773754408054</v>
      </c>
    </row>
    <row r="1152" spans="1:6">
      <c r="A1152" s="149" t="s">
        <v>2962</v>
      </c>
      <c r="B1152" s="144" t="s">
        <v>1208</v>
      </c>
      <c r="C1152" s="44">
        <v>16154</v>
      </c>
      <c r="D1152" s="153">
        <f t="shared" si="17"/>
        <v>1.009625</v>
      </c>
      <c r="E1152" s="43">
        <v>29446.250150475502</v>
      </c>
      <c r="F1152" s="140">
        <v>1.9502773754408054</v>
      </c>
    </row>
    <row r="1153" spans="1:6">
      <c r="A1153" s="149" t="s">
        <v>2962</v>
      </c>
      <c r="B1153" s="144" t="s">
        <v>1209</v>
      </c>
      <c r="C1153" s="44">
        <v>16154</v>
      </c>
      <c r="D1153" s="153">
        <f t="shared" si="17"/>
        <v>1.009625</v>
      </c>
      <c r="E1153" s="43">
        <v>29446.250150475502</v>
      </c>
      <c r="F1153" s="140">
        <v>1.9502773754408054</v>
      </c>
    </row>
    <row r="1154" spans="1:6">
      <c r="A1154" s="149" t="s">
        <v>2962</v>
      </c>
      <c r="B1154" s="144" t="s">
        <v>1210</v>
      </c>
      <c r="C1154" s="44">
        <v>16154</v>
      </c>
      <c r="D1154" s="153">
        <f t="shared" si="17"/>
        <v>1.009625</v>
      </c>
      <c r="E1154" s="43">
        <v>29446.250150475502</v>
      </c>
      <c r="F1154" s="140">
        <v>1.9502773754408054</v>
      </c>
    </row>
    <row r="1155" spans="1:6">
      <c r="A1155" s="149" t="s">
        <v>2962</v>
      </c>
      <c r="B1155" s="144" t="s">
        <v>1211</v>
      </c>
      <c r="C1155" s="44">
        <v>16154</v>
      </c>
      <c r="D1155" s="153">
        <f t="shared" si="17"/>
        <v>1.009625</v>
      </c>
      <c r="E1155" s="43">
        <v>29446.250150475502</v>
      </c>
      <c r="F1155" s="140">
        <v>1.9502773754408054</v>
      </c>
    </row>
    <row r="1156" spans="1:6">
      <c r="A1156" s="149" t="s">
        <v>2962</v>
      </c>
      <c r="B1156" s="144" t="s">
        <v>1212</v>
      </c>
      <c r="C1156" s="44">
        <v>16154</v>
      </c>
      <c r="D1156" s="153">
        <f t="shared" si="17"/>
        <v>1.009625</v>
      </c>
      <c r="E1156" s="43">
        <v>29446.250150475502</v>
      </c>
      <c r="F1156" s="140">
        <v>1.9502773754408054</v>
      </c>
    </row>
    <row r="1157" spans="1:6">
      <c r="A1157" s="149" t="s">
        <v>2962</v>
      </c>
      <c r="B1157" s="144" t="s">
        <v>1213</v>
      </c>
      <c r="C1157" s="44">
        <v>16154</v>
      </c>
      <c r="D1157" s="153">
        <f t="shared" si="17"/>
        <v>1.009625</v>
      </c>
      <c r="E1157" s="43">
        <v>29446.250150475502</v>
      </c>
      <c r="F1157" s="140">
        <v>1.9502773754408054</v>
      </c>
    </row>
    <row r="1158" spans="1:6">
      <c r="A1158" s="149" t="s">
        <v>2962</v>
      </c>
      <c r="B1158" s="144" t="s">
        <v>1214</v>
      </c>
      <c r="C1158" s="44">
        <v>16154</v>
      </c>
      <c r="D1158" s="153">
        <f t="shared" si="17"/>
        <v>1.009625</v>
      </c>
      <c r="E1158" s="43">
        <v>29446.250150475502</v>
      </c>
      <c r="F1158" s="140">
        <v>1.9502773754408054</v>
      </c>
    </row>
    <row r="1159" spans="1:6">
      <c r="A1159" s="149" t="s">
        <v>2962</v>
      </c>
      <c r="B1159" s="144" t="s">
        <v>1215</v>
      </c>
      <c r="C1159" s="44">
        <v>16154</v>
      </c>
      <c r="D1159" s="153">
        <f t="shared" ref="D1159:D1222" si="18">C1159/32768*4.096/2</f>
        <v>1.009625</v>
      </c>
      <c r="E1159" s="43">
        <v>29446.250150475502</v>
      </c>
      <c r="F1159" s="140">
        <v>1.9502773754408054</v>
      </c>
    </row>
    <row r="1160" spans="1:6">
      <c r="A1160" s="149" t="s">
        <v>2962</v>
      </c>
      <c r="B1160" s="144" t="s">
        <v>1216</v>
      </c>
      <c r="C1160" s="44">
        <v>16154</v>
      </c>
      <c r="D1160" s="153">
        <f t="shared" si="18"/>
        <v>1.009625</v>
      </c>
      <c r="E1160" s="43">
        <v>29446.250150475502</v>
      </c>
      <c r="F1160" s="140">
        <v>1.9502773754408054</v>
      </c>
    </row>
    <row r="1161" spans="1:6">
      <c r="A1161" s="149" t="s">
        <v>2962</v>
      </c>
      <c r="B1161" s="144" t="s">
        <v>1217</v>
      </c>
      <c r="C1161" s="44">
        <v>16154</v>
      </c>
      <c r="D1161" s="153">
        <f t="shared" si="18"/>
        <v>1.009625</v>
      </c>
      <c r="E1161" s="43">
        <v>29446.250150475502</v>
      </c>
      <c r="F1161" s="140">
        <v>1.9502773754408054</v>
      </c>
    </row>
    <row r="1162" spans="1:6">
      <c r="A1162" s="149" t="s">
        <v>2962</v>
      </c>
      <c r="B1162" s="144" t="s">
        <v>1218</v>
      </c>
      <c r="C1162" s="44">
        <v>16154</v>
      </c>
      <c r="D1162" s="153">
        <f t="shared" si="18"/>
        <v>1.009625</v>
      </c>
      <c r="E1162" s="43">
        <v>29446.250150475502</v>
      </c>
      <c r="F1162" s="140">
        <v>1.9502773754408054</v>
      </c>
    </row>
    <row r="1163" spans="1:6">
      <c r="A1163" s="149" t="s">
        <v>2962</v>
      </c>
      <c r="B1163" s="144" t="s">
        <v>1219</v>
      </c>
      <c r="C1163" s="44">
        <v>16154</v>
      </c>
      <c r="D1163" s="153">
        <f t="shared" si="18"/>
        <v>1.009625</v>
      </c>
      <c r="E1163" s="43">
        <v>29446.250150475502</v>
      </c>
      <c r="F1163" s="140">
        <v>1.9502773754408054</v>
      </c>
    </row>
    <row r="1164" spans="1:6">
      <c r="A1164" s="149" t="s">
        <v>2962</v>
      </c>
      <c r="B1164" s="144" t="s">
        <v>1220</v>
      </c>
      <c r="C1164" s="44">
        <v>16154</v>
      </c>
      <c r="D1164" s="153">
        <f t="shared" si="18"/>
        <v>1.009625</v>
      </c>
      <c r="E1164" s="43">
        <v>29446.250150475502</v>
      </c>
      <c r="F1164" s="140">
        <v>1.9502773754408054</v>
      </c>
    </row>
    <row r="1165" spans="1:6">
      <c r="A1165" s="149" t="s">
        <v>2962</v>
      </c>
      <c r="B1165" s="144" t="s">
        <v>1221</v>
      </c>
      <c r="C1165" s="44">
        <v>16154</v>
      </c>
      <c r="D1165" s="153">
        <f t="shared" si="18"/>
        <v>1.009625</v>
      </c>
      <c r="E1165" s="43">
        <v>29446.250150475502</v>
      </c>
      <c r="F1165" s="140">
        <v>1.9502773754408054</v>
      </c>
    </row>
    <row r="1166" spans="1:6">
      <c r="A1166" s="149" t="s">
        <v>2962</v>
      </c>
      <c r="B1166" s="144" t="s">
        <v>1222</v>
      </c>
      <c r="C1166" s="44">
        <v>16154</v>
      </c>
      <c r="D1166" s="153">
        <f t="shared" si="18"/>
        <v>1.009625</v>
      </c>
      <c r="E1166" s="43">
        <v>29446.250150475502</v>
      </c>
      <c r="F1166" s="140">
        <v>1.9502773754408054</v>
      </c>
    </row>
    <row r="1167" spans="1:6">
      <c r="A1167" s="149" t="s">
        <v>2962</v>
      </c>
      <c r="B1167" s="144" t="s">
        <v>1223</v>
      </c>
      <c r="C1167" s="44">
        <v>16154</v>
      </c>
      <c r="D1167" s="153">
        <f t="shared" si="18"/>
        <v>1.009625</v>
      </c>
      <c r="E1167" s="43">
        <v>29446.250150475502</v>
      </c>
      <c r="F1167" s="140">
        <v>1.9502773754408054</v>
      </c>
    </row>
    <row r="1168" spans="1:6">
      <c r="A1168" s="149" t="s">
        <v>2962</v>
      </c>
      <c r="B1168" s="144" t="s">
        <v>1224</v>
      </c>
      <c r="C1168" s="44">
        <v>16154</v>
      </c>
      <c r="D1168" s="153">
        <f t="shared" si="18"/>
        <v>1.009625</v>
      </c>
      <c r="E1168" s="43">
        <v>29446.250150475502</v>
      </c>
      <c r="F1168" s="140">
        <v>1.9502773754408054</v>
      </c>
    </row>
    <row r="1169" spans="1:6">
      <c r="A1169" s="149" t="s">
        <v>2962</v>
      </c>
      <c r="B1169" s="144" t="s">
        <v>1225</v>
      </c>
      <c r="C1169" s="44">
        <v>16154</v>
      </c>
      <c r="D1169" s="153">
        <f t="shared" si="18"/>
        <v>1.009625</v>
      </c>
      <c r="E1169" s="43">
        <v>29446.250150475502</v>
      </c>
      <c r="F1169" s="140">
        <v>1.9502773754408054</v>
      </c>
    </row>
    <row r="1170" spans="1:6">
      <c r="A1170" s="149" t="s">
        <v>2962</v>
      </c>
      <c r="B1170" s="144" t="s">
        <v>1226</v>
      </c>
      <c r="C1170" s="44">
        <v>16154</v>
      </c>
      <c r="D1170" s="153">
        <f t="shared" si="18"/>
        <v>1.009625</v>
      </c>
      <c r="E1170" s="43">
        <v>29446.250150475502</v>
      </c>
      <c r="F1170" s="140">
        <v>1.9502773754408054</v>
      </c>
    </row>
    <row r="1171" spans="1:6">
      <c r="A1171" s="149" t="s">
        <v>2962</v>
      </c>
      <c r="B1171" s="144" t="s">
        <v>1227</v>
      </c>
      <c r="C1171" s="44">
        <v>16154</v>
      </c>
      <c r="D1171" s="153">
        <f t="shared" si="18"/>
        <v>1.009625</v>
      </c>
      <c r="E1171" s="43">
        <v>29446.250150475502</v>
      </c>
      <c r="F1171" s="140">
        <v>1.9502773754408054</v>
      </c>
    </row>
    <row r="1172" spans="1:6">
      <c r="A1172" s="149" t="s">
        <v>2962</v>
      </c>
      <c r="B1172" s="144" t="s">
        <v>1228</v>
      </c>
      <c r="C1172" s="44">
        <v>16154</v>
      </c>
      <c r="D1172" s="153">
        <f t="shared" si="18"/>
        <v>1.009625</v>
      </c>
      <c r="E1172" s="43">
        <v>29446.250150475502</v>
      </c>
      <c r="F1172" s="140">
        <v>1.9502773754408054</v>
      </c>
    </row>
    <row r="1173" spans="1:6">
      <c r="A1173" s="149" t="s">
        <v>2962</v>
      </c>
      <c r="B1173" s="144" t="s">
        <v>1229</v>
      </c>
      <c r="C1173" s="44">
        <v>16154</v>
      </c>
      <c r="D1173" s="153">
        <f t="shared" si="18"/>
        <v>1.009625</v>
      </c>
      <c r="E1173" s="43">
        <v>29446.250150475502</v>
      </c>
      <c r="F1173" s="140">
        <v>1.9502773754408054</v>
      </c>
    </row>
    <row r="1174" spans="1:6">
      <c r="A1174" s="149" t="s">
        <v>2962</v>
      </c>
      <c r="B1174" s="144" t="s">
        <v>1230</v>
      </c>
      <c r="C1174" s="44">
        <v>16154</v>
      </c>
      <c r="D1174" s="153">
        <f t="shared" si="18"/>
        <v>1.009625</v>
      </c>
      <c r="E1174" s="43">
        <v>29446.250150475502</v>
      </c>
      <c r="F1174" s="140">
        <v>1.9502773754408054</v>
      </c>
    </row>
    <row r="1175" spans="1:6">
      <c r="A1175" s="149" t="s">
        <v>2962</v>
      </c>
      <c r="B1175" s="144" t="s">
        <v>1231</v>
      </c>
      <c r="C1175" s="44">
        <v>16154</v>
      </c>
      <c r="D1175" s="153">
        <f t="shared" si="18"/>
        <v>1.009625</v>
      </c>
      <c r="E1175" s="43">
        <v>29446.250150475502</v>
      </c>
      <c r="F1175" s="140">
        <v>1.9502773754408054</v>
      </c>
    </row>
    <row r="1176" spans="1:6">
      <c r="A1176" s="149" t="s">
        <v>2962</v>
      </c>
      <c r="B1176" s="144" t="s">
        <v>1232</v>
      </c>
      <c r="C1176" s="44">
        <v>16154</v>
      </c>
      <c r="D1176" s="153">
        <f t="shared" si="18"/>
        <v>1.009625</v>
      </c>
      <c r="E1176" s="43">
        <v>29446.250150475502</v>
      </c>
      <c r="F1176" s="140">
        <v>1.9502773754408054</v>
      </c>
    </row>
    <row r="1177" spans="1:6">
      <c r="A1177" s="149" t="s">
        <v>2962</v>
      </c>
      <c r="B1177" s="144" t="s">
        <v>1233</v>
      </c>
      <c r="C1177" s="44">
        <v>16154</v>
      </c>
      <c r="D1177" s="153">
        <f t="shared" si="18"/>
        <v>1.009625</v>
      </c>
      <c r="E1177" s="43">
        <v>29446.250150475502</v>
      </c>
      <c r="F1177" s="140">
        <v>1.9502773754408054</v>
      </c>
    </row>
    <row r="1178" spans="1:6">
      <c r="A1178" s="149" t="s">
        <v>2962</v>
      </c>
      <c r="B1178" s="144" t="s">
        <v>1234</v>
      </c>
      <c r="C1178" s="44">
        <v>16154</v>
      </c>
      <c r="D1178" s="153">
        <f t="shared" si="18"/>
        <v>1.009625</v>
      </c>
      <c r="E1178" s="43">
        <v>29446.250150475502</v>
      </c>
      <c r="F1178" s="140">
        <v>1.9502773754408054</v>
      </c>
    </row>
    <row r="1179" spans="1:6">
      <c r="A1179" s="149" t="s">
        <v>2962</v>
      </c>
      <c r="B1179" s="144" t="s">
        <v>1235</v>
      </c>
      <c r="C1179" s="44">
        <v>16154</v>
      </c>
      <c r="D1179" s="153">
        <f t="shared" si="18"/>
        <v>1.009625</v>
      </c>
      <c r="E1179" s="43">
        <v>29446.250150475502</v>
      </c>
      <c r="F1179" s="140">
        <v>1.9502773754408054</v>
      </c>
    </row>
    <row r="1180" spans="1:6">
      <c r="A1180" s="149" t="s">
        <v>2962</v>
      </c>
      <c r="B1180" s="144" t="s">
        <v>1236</v>
      </c>
      <c r="C1180" s="44">
        <v>16154</v>
      </c>
      <c r="D1180" s="153">
        <f t="shared" si="18"/>
        <v>1.009625</v>
      </c>
      <c r="E1180" s="43">
        <v>29446.250150475502</v>
      </c>
      <c r="F1180" s="140">
        <v>1.9502773754408054</v>
      </c>
    </row>
    <row r="1181" spans="1:6">
      <c r="A1181" s="149" t="s">
        <v>2962</v>
      </c>
      <c r="B1181" s="144" t="s">
        <v>1237</v>
      </c>
      <c r="C1181" s="44">
        <v>16154</v>
      </c>
      <c r="D1181" s="153">
        <f t="shared" si="18"/>
        <v>1.009625</v>
      </c>
      <c r="E1181" s="43">
        <v>29446.250150475502</v>
      </c>
      <c r="F1181" s="140">
        <v>1.9502773754408054</v>
      </c>
    </row>
    <row r="1182" spans="1:6">
      <c r="A1182" s="149" t="s">
        <v>2962</v>
      </c>
      <c r="B1182" s="144" t="s">
        <v>1238</v>
      </c>
      <c r="C1182" s="44">
        <v>16154</v>
      </c>
      <c r="D1182" s="153">
        <f t="shared" si="18"/>
        <v>1.009625</v>
      </c>
      <c r="E1182" s="43">
        <v>29446.250150475502</v>
      </c>
      <c r="F1182" s="140">
        <v>1.9502773754408054</v>
      </c>
    </row>
    <row r="1183" spans="1:6">
      <c r="A1183" s="149" t="s">
        <v>2962</v>
      </c>
      <c r="B1183" s="144" t="s">
        <v>1239</v>
      </c>
      <c r="C1183" s="44">
        <v>16154</v>
      </c>
      <c r="D1183" s="153">
        <f t="shared" si="18"/>
        <v>1.009625</v>
      </c>
      <c r="E1183" s="43">
        <v>29446.250150475502</v>
      </c>
      <c r="F1183" s="140">
        <v>1.9502773754408054</v>
      </c>
    </row>
    <row r="1184" spans="1:6">
      <c r="A1184" s="149" t="s">
        <v>2962</v>
      </c>
      <c r="B1184" s="144" t="s">
        <v>1240</v>
      </c>
      <c r="C1184" s="44">
        <v>16154</v>
      </c>
      <c r="D1184" s="153">
        <f t="shared" si="18"/>
        <v>1.009625</v>
      </c>
      <c r="E1184" s="43">
        <v>29446.250150475502</v>
      </c>
      <c r="F1184" s="140">
        <v>1.9502773754408054</v>
      </c>
    </row>
    <row r="1185" spans="1:6">
      <c r="A1185" s="149" t="s">
        <v>2962</v>
      </c>
      <c r="B1185" s="144" t="s">
        <v>1241</v>
      </c>
      <c r="C1185" s="44">
        <v>16154</v>
      </c>
      <c r="D1185" s="153">
        <f t="shared" si="18"/>
        <v>1.009625</v>
      </c>
      <c r="E1185" s="43">
        <v>29446.250150475502</v>
      </c>
      <c r="F1185" s="140">
        <v>1.9502773754408054</v>
      </c>
    </row>
    <row r="1186" spans="1:6">
      <c r="A1186" s="149" t="s">
        <v>2962</v>
      </c>
      <c r="B1186" s="144" t="s">
        <v>1242</v>
      </c>
      <c r="C1186" s="44">
        <v>16154</v>
      </c>
      <c r="D1186" s="153">
        <f t="shared" si="18"/>
        <v>1.009625</v>
      </c>
      <c r="E1186" s="43">
        <v>29446.250150475502</v>
      </c>
      <c r="F1186" s="140">
        <v>1.9502773754408054</v>
      </c>
    </row>
    <row r="1187" spans="1:6">
      <c r="A1187" s="149" t="s">
        <v>2962</v>
      </c>
      <c r="B1187" s="144" t="s">
        <v>1243</v>
      </c>
      <c r="C1187" s="44">
        <v>16154</v>
      </c>
      <c r="D1187" s="153">
        <f t="shared" si="18"/>
        <v>1.009625</v>
      </c>
      <c r="E1187" s="43">
        <v>29446.250150475502</v>
      </c>
      <c r="F1187" s="140">
        <v>1.9502773754408054</v>
      </c>
    </row>
    <row r="1188" spans="1:6">
      <c r="A1188" s="149" t="s">
        <v>2962</v>
      </c>
      <c r="B1188" s="144" t="s">
        <v>1244</v>
      </c>
      <c r="C1188" s="44">
        <v>16154</v>
      </c>
      <c r="D1188" s="153">
        <f t="shared" si="18"/>
        <v>1.009625</v>
      </c>
      <c r="E1188" s="43">
        <v>29446.250150475502</v>
      </c>
      <c r="F1188" s="140">
        <v>1.9502773754408054</v>
      </c>
    </row>
    <row r="1189" spans="1:6">
      <c r="A1189" s="149" t="s">
        <v>2962</v>
      </c>
      <c r="B1189" s="144" t="s">
        <v>1245</v>
      </c>
      <c r="C1189" s="44">
        <v>16154</v>
      </c>
      <c r="D1189" s="153">
        <f t="shared" si="18"/>
        <v>1.009625</v>
      </c>
      <c r="E1189" s="43">
        <v>29446.250150475502</v>
      </c>
      <c r="F1189" s="140">
        <v>1.9502773754408054</v>
      </c>
    </row>
    <row r="1190" spans="1:6">
      <c r="A1190" s="149" t="s">
        <v>2962</v>
      </c>
      <c r="B1190" s="144" t="s">
        <v>1246</v>
      </c>
      <c r="C1190" s="44">
        <v>16154</v>
      </c>
      <c r="D1190" s="153">
        <f t="shared" si="18"/>
        <v>1.009625</v>
      </c>
      <c r="E1190" s="43">
        <v>29446.250150475502</v>
      </c>
      <c r="F1190" s="140">
        <v>1.9502773754408054</v>
      </c>
    </row>
    <row r="1191" spans="1:6">
      <c r="A1191" s="149" t="s">
        <v>2962</v>
      </c>
      <c r="B1191" s="144" t="s">
        <v>1247</v>
      </c>
      <c r="C1191" s="44">
        <v>16154</v>
      </c>
      <c r="D1191" s="153">
        <f t="shared" si="18"/>
        <v>1.009625</v>
      </c>
      <c r="E1191" s="43">
        <v>29446.250150475502</v>
      </c>
      <c r="F1191" s="140">
        <v>1.9502773754408054</v>
      </c>
    </row>
    <row r="1192" spans="1:6">
      <c r="A1192" s="149" t="s">
        <v>2962</v>
      </c>
      <c r="B1192" s="144" t="s">
        <v>1248</v>
      </c>
      <c r="C1192" s="44">
        <v>16154</v>
      </c>
      <c r="D1192" s="153">
        <f t="shared" si="18"/>
        <v>1.009625</v>
      </c>
      <c r="E1192" s="43">
        <v>29446.250150475502</v>
      </c>
      <c r="F1192" s="140">
        <v>1.9502773754408054</v>
      </c>
    </row>
    <row r="1193" spans="1:6">
      <c r="A1193" s="149" t="s">
        <v>2962</v>
      </c>
      <c r="B1193" s="144" t="s">
        <v>1249</v>
      </c>
      <c r="C1193" s="44">
        <v>16154</v>
      </c>
      <c r="D1193" s="153">
        <f t="shared" si="18"/>
        <v>1.009625</v>
      </c>
      <c r="E1193" s="43">
        <v>29446.250150475502</v>
      </c>
      <c r="F1193" s="140">
        <v>1.9502773754408054</v>
      </c>
    </row>
    <row r="1194" spans="1:6">
      <c r="A1194" s="149" t="s">
        <v>2962</v>
      </c>
      <c r="B1194" s="144" t="s">
        <v>1250</v>
      </c>
      <c r="C1194" s="44">
        <v>16154</v>
      </c>
      <c r="D1194" s="153">
        <f t="shared" si="18"/>
        <v>1.009625</v>
      </c>
      <c r="E1194" s="43">
        <v>29446.250150475502</v>
      </c>
      <c r="F1194" s="140">
        <v>1.9502773754408054</v>
      </c>
    </row>
    <row r="1195" spans="1:6">
      <c r="A1195" s="149" t="s">
        <v>2962</v>
      </c>
      <c r="B1195" s="144" t="s">
        <v>1251</v>
      </c>
      <c r="C1195" s="44">
        <v>16154</v>
      </c>
      <c r="D1195" s="153">
        <f t="shared" si="18"/>
        <v>1.009625</v>
      </c>
      <c r="E1195" s="43">
        <v>29446.250150475502</v>
      </c>
      <c r="F1195" s="140">
        <v>1.9502773754408054</v>
      </c>
    </row>
    <row r="1196" spans="1:6">
      <c r="A1196" s="149" t="s">
        <v>2962</v>
      </c>
      <c r="B1196" s="144" t="s">
        <v>1252</v>
      </c>
      <c r="C1196" s="44">
        <v>16154</v>
      </c>
      <c r="D1196" s="153">
        <f t="shared" si="18"/>
        <v>1.009625</v>
      </c>
      <c r="E1196" s="43">
        <v>29446.250150475502</v>
      </c>
      <c r="F1196" s="140">
        <v>1.9502773754408054</v>
      </c>
    </row>
    <row r="1197" spans="1:6">
      <c r="A1197" s="149" t="s">
        <v>2962</v>
      </c>
      <c r="B1197" s="144" t="s">
        <v>1253</v>
      </c>
      <c r="C1197" s="44">
        <v>16154</v>
      </c>
      <c r="D1197" s="153">
        <f t="shared" si="18"/>
        <v>1.009625</v>
      </c>
      <c r="E1197" s="43">
        <v>29446.250150475502</v>
      </c>
      <c r="F1197" s="140">
        <v>1.9502773754408054</v>
      </c>
    </row>
    <row r="1198" spans="1:6">
      <c r="A1198" s="149" t="s">
        <v>2962</v>
      </c>
      <c r="B1198" s="144" t="s">
        <v>1254</v>
      </c>
      <c r="C1198" s="44">
        <v>16154</v>
      </c>
      <c r="D1198" s="153">
        <f t="shared" si="18"/>
        <v>1.009625</v>
      </c>
      <c r="E1198" s="43">
        <v>29446.250150475502</v>
      </c>
      <c r="F1198" s="140">
        <v>1.9502773754408054</v>
      </c>
    </row>
    <row r="1199" spans="1:6">
      <c r="A1199" s="149" t="s">
        <v>2962</v>
      </c>
      <c r="B1199" s="144" t="s">
        <v>1255</v>
      </c>
      <c r="C1199" s="44">
        <v>16154</v>
      </c>
      <c r="D1199" s="153">
        <f t="shared" si="18"/>
        <v>1.009625</v>
      </c>
      <c r="E1199" s="43">
        <v>29446.250150475502</v>
      </c>
      <c r="F1199" s="140">
        <v>1.9502773754408054</v>
      </c>
    </row>
    <row r="1200" spans="1:6">
      <c r="A1200" s="149" t="s">
        <v>2962</v>
      </c>
      <c r="B1200" s="144" t="s">
        <v>1256</v>
      </c>
      <c r="C1200" s="44">
        <v>16154</v>
      </c>
      <c r="D1200" s="153">
        <f t="shared" si="18"/>
        <v>1.009625</v>
      </c>
      <c r="E1200" s="43">
        <v>29446.250150475502</v>
      </c>
      <c r="F1200" s="140">
        <v>1.9502773754408054</v>
      </c>
    </row>
    <row r="1201" spans="1:6">
      <c r="A1201" s="149" t="s">
        <v>2962</v>
      </c>
      <c r="B1201" s="144" t="s">
        <v>1257</v>
      </c>
      <c r="C1201" s="44">
        <v>16154</v>
      </c>
      <c r="D1201" s="153">
        <f t="shared" si="18"/>
        <v>1.009625</v>
      </c>
      <c r="E1201" s="43">
        <v>29446.250150475502</v>
      </c>
      <c r="F1201" s="140">
        <v>1.9502773754408054</v>
      </c>
    </row>
    <row r="1202" spans="1:6">
      <c r="A1202" s="149" t="s">
        <v>2962</v>
      </c>
      <c r="B1202" s="144" t="s">
        <v>1258</v>
      </c>
      <c r="C1202" s="44">
        <v>16154</v>
      </c>
      <c r="D1202" s="153">
        <f t="shared" si="18"/>
        <v>1.009625</v>
      </c>
      <c r="E1202" s="43">
        <v>29446.250150475502</v>
      </c>
      <c r="F1202" s="140">
        <v>1.9502773754408054</v>
      </c>
    </row>
    <row r="1203" spans="1:6">
      <c r="A1203" s="149" t="s">
        <v>2962</v>
      </c>
      <c r="B1203" s="144" t="s">
        <v>1259</v>
      </c>
      <c r="C1203" s="44">
        <v>16154</v>
      </c>
      <c r="D1203" s="153">
        <f t="shared" si="18"/>
        <v>1.009625</v>
      </c>
      <c r="E1203" s="43">
        <v>29446.250150475502</v>
      </c>
      <c r="F1203" s="140">
        <v>1.9502773754408054</v>
      </c>
    </row>
    <row r="1204" spans="1:6">
      <c r="A1204" s="149" t="s">
        <v>2962</v>
      </c>
      <c r="B1204" s="144" t="s">
        <v>1260</v>
      </c>
      <c r="C1204" s="44">
        <v>16154</v>
      </c>
      <c r="D1204" s="153">
        <f t="shared" si="18"/>
        <v>1.009625</v>
      </c>
      <c r="E1204" s="43">
        <v>29446.250150475502</v>
      </c>
      <c r="F1204" s="140">
        <v>1.9502773754408054</v>
      </c>
    </row>
    <row r="1205" spans="1:6">
      <c r="A1205" s="149" t="s">
        <v>2962</v>
      </c>
      <c r="B1205" s="144" t="s">
        <v>1261</v>
      </c>
      <c r="C1205" s="44">
        <v>16154</v>
      </c>
      <c r="D1205" s="153">
        <f t="shared" si="18"/>
        <v>1.009625</v>
      </c>
      <c r="E1205" s="43">
        <v>29446.250150475502</v>
      </c>
      <c r="F1205" s="140">
        <v>1.9502773754408054</v>
      </c>
    </row>
    <row r="1206" spans="1:6">
      <c r="A1206" s="149" t="s">
        <v>2962</v>
      </c>
      <c r="B1206" s="144" t="s">
        <v>1262</v>
      </c>
      <c r="C1206" s="44">
        <v>16154</v>
      </c>
      <c r="D1206" s="153">
        <f t="shared" si="18"/>
        <v>1.009625</v>
      </c>
      <c r="E1206" s="43">
        <v>29446.250150475502</v>
      </c>
      <c r="F1206" s="140">
        <v>1.9502773754408054</v>
      </c>
    </row>
    <row r="1207" spans="1:6">
      <c r="A1207" s="149" t="s">
        <v>2962</v>
      </c>
      <c r="B1207" s="144" t="s">
        <v>1263</v>
      </c>
      <c r="C1207" s="44">
        <v>16154</v>
      </c>
      <c r="D1207" s="153">
        <f t="shared" si="18"/>
        <v>1.009625</v>
      </c>
      <c r="E1207" s="43">
        <v>29446.250150475502</v>
      </c>
      <c r="F1207" s="140">
        <v>1.9502773754408054</v>
      </c>
    </row>
    <row r="1208" spans="1:6">
      <c r="A1208" s="149" t="s">
        <v>2962</v>
      </c>
      <c r="B1208" s="144" t="s">
        <v>1264</v>
      </c>
      <c r="C1208" s="44">
        <v>16154</v>
      </c>
      <c r="D1208" s="153">
        <f t="shared" si="18"/>
        <v>1.009625</v>
      </c>
      <c r="E1208" s="43">
        <v>29446.250150475502</v>
      </c>
      <c r="F1208" s="140">
        <v>1.9502773754408054</v>
      </c>
    </row>
    <row r="1209" spans="1:6">
      <c r="A1209" s="149" t="s">
        <v>2962</v>
      </c>
      <c r="B1209" s="144" t="s">
        <v>1265</v>
      </c>
      <c r="C1209" s="44">
        <v>16154</v>
      </c>
      <c r="D1209" s="153">
        <f t="shared" si="18"/>
        <v>1.009625</v>
      </c>
      <c r="E1209" s="43">
        <v>29446.250150475502</v>
      </c>
      <c r="F1209" s="140">
        <v>1.9502773754408054</v>
      </c>
    </row>
    <row r="1210" spans="1:6">
      <c r="A1210" s="149" t="s">
        <v>2962</v>
      </c>
      <c r="B1210" s="144" t="s">
        <v>1266</v>
      </c>
      <c r="C1210" s="44">
        <v>16154</v>
      </c>
      <c r="D1210" s="153">
        <f t="shared" si="18"/>
        <v>1.009625</v>
      </c>
      <c r="E1210" s="43">
        <v>29446.250150475502</v>
      </c>
      <c r="F1210" s="140">
        <v>1.9502773754408054</v>
      </c>
    </row>
    <row r="1211" spans="1:6">
      <c r="A1211" s="149" t="s">
        <v>2962</v>
      </c>
      <c r="B1211" s="144" t="s">
        <v>1267</v>
      </c>
      <c r="C1211" s="44">
        <v>16154</v>
      </c>
      <c r="D1211" s="153">
        <f t="shared" si="18"/>
        <v>1.009625</v>
      </c>
      <c r="E1211" s="43">
        <v>29446.250150475502</v>
      </c>
      <c r="F1211" s="140">
        <v>1.9502773754408054</v>
      </c>
    </row>
    <row r="1212" spans="1:6">
      <c r="A1212" s="149" t="s">
        <v>2962</v>
      </c>
      <c r="B1212" s="144" t="s">
        <v>1268</v>
      </c>
      <c r="C1212" s="44">
        <v>16154</v>
      </c>
      <c r="D1212" s="153">
        <f t="shared" si="18"/>
        <v>1.009625</v>
      </c>
      <c r="E1212" s="43">
        <v>29446.250150475502</v>
      </c>
      <c r="F1212" s="140">
        <v>1.9502773754408054</v>
      </c>
    </row>
    <row r="1213" spans="1:6">
      <c r="A1213" s="149" t="s">
        <v>2962</v>
      </c>
      <c r="B1213" s="144" t="s">
        <v>1269</v>
      </c>
      <c r="C1213" s="44">
        <v>16154</v>
      </c>
      <c r="D1213" s="153">
        <f t="shared" si="18"/>
        <v>1.009625</v>
      </c>
      <c r="E1213" s="43">
        <v>29446.250150475502</v>
      </c>
      <c r="F1213" s="140">
        <v>1.9502773754408054</v>
      </c>
    </row>
    <row r="1214" spans="1:6">
      <c r="A1214" s="149" t="s">
        <v>2962</v>
      </c>
      <c r="B1214" s="144" t="s">
        <v>1270</v>
      </c>
      <c r="C1214" s="44">
        <v>16154</v>
      </c>
      <c r="D1214" s="153">
        <f t="shared" si="18"/>
        <v>1.009625</v>
      </c>
      <c r="E1214" s="43">
        <v>29446.250150475502</v>
      </c>
      <c r="F1214" s="140">
        <v>1.9502773754408054</v>
      </c>
    </row>
    <row r="1215" spans="1:6">
      <c r="A1215" s="149" t="s">
        <v>2962</v>
      </c>
      <c r="B1215" s="144" t="s">
        <v>1271</v>
      </c>
      <c r="C1215" s="44">
        <v>16154</v>
      </c>
      <c r="D1215" s="153">
        <f t="shared" si="18"/>
        <v>1.009625</v>
      </c>
      <c r="E1215" s="43">
        <v>29446.250150475502</v>
      </c>
      <c r="F1215" s="140">
        <v>1.9502773754408054</v>
      </c>
    </row>
    <row r="1216" spans="1:6">
      <c r="A1216" s="149" t="s">
        <v>2962</v>
      </c>
      <c r="B1216" s="144" t="s">
        <v>1272</v>
      </c>
      <c r="C1216" s="44">
        <v>16153</v>
      </c>
      <c r="D1216" s="153">
        <f t="shared" si="18"/>
        <v>1.0095624999999999</v>
      </c>
      <c r="E1216" s="43">
        <v>29443.876015648511</v>
      </c>
      <c r="F1216" s="140">
        <v>1.9518773932280169</v>
      </c>
    </row>
    <row r="1217" spans="1:6">
      <c r="A1217" s="149" t="s">
        <v>2962</v>
      </c>
      <c r="B1217" s="144" t="s">
        <v>1273</v>
      </c>
      <c r="C1217" s="44">
        <v>16153</v>
      </c>
      <c r="D1217" s="153">
        <f t="shared" si="18"/>
        <v>1.0095624999999999</v>
      </c>
      <c r="E1217" s="43">
        <v>29443.876015648511</v>
      </c>
      <c r="F1217" s="140">
        <v>1.9518773932280169</v>
      </c>
    </row>
    <row r="1218" spans="1:6">
      <c r="A1218" s="149" t="s">
        <v>2962</v>
      </c>
      <c r="B1218" s="144" t="s">
        <v>1274</v>
      </c>
      <c r="C1218" s="44">
        <v>16152</v>
      </c>
      <c r="D1218" s="153">
        <f t="shared" si="18"/>
        <v>1.0095000000000001</v>
      </c>
      <c r="E1218" s="43">
        <v>29441.502166586422</v>
      </c>
      <c r="F1218" s="140">
        <v>1.9534773634185285</v>
      </c>
    </row>
    <row r="1219" spans="1:6">
      <c r="A1219" s="149" t="s">
        <v>2962</v>
      </c>
      <c r="B1219" s="144" t="s">
        <v>1275</v>
      </c>
      <c r="C1219" s="44">
        <v>16150</v>
      </c>
      <c r="D1219" s="153">
        <f t="shared" si="18"/>
        <v>1.0093749999999999</v>
      </c>
      <c r="E1219" s="43">
        <v>29436.755325550606</v>
      </c>
      <c r="F1219" s="140">
        <v>1.9566771610391811</v>
      </c>
    </row>
    <row r="1220" spans="1:6">
      <c r="A1220" s="149" t="s">
        <v>2962</v>
      </c>
      <c r="B1220" s="144" t="s">
        <v>1276</v>
      </c>
      <c r="C1220" s="44">
        <v>16148</v>
      </c>
      <c r="D1220" s="153">
        <f t="shared" si="18"/>
        <v>1.00925</v>
      </c>
      <c r="E1220" s="43">
        <v>29432.009626955474</v>
      </c>
      <c r="F1220" s="140">
        <v>1.9598767683613119</v>
      </c>
    </row>
    <row r="1221" spans="1:6">
      <c r="A1221" s="149" t="s">
        <v>2962</v>
      </c>
      <c r="B1221" s="144" t="s">
        <v>1277</v>
      </c>
      <c r="C1221" s="44">
        <v>16145</v>
      </c>
      <c r="D1221" s="153">
        <f t="shared" si="18"/>
        <v>1.0090625</v>
      </c>
      <c r="E1221" s="43">
        <v>29424.89322023702</v>
      </c>
      <c r="F1221" s="140">
        <v>1.9646758226634802</v>
      </c>
    </row>
    <row r="1222" spans="1:6">
      <c r="A1222" s="149" t="s">
        <v>2962</v>
      </c>
      <c r="B1222" s="144" t="s">
        <v>1278</v>
      </c>
      <c r="C1222" s="44">
        <v>16140</v>
      </c>
      <c r="D1222" s="153">
        <f t="shared" si="18"/>
        <v>1.00875</v>
      </c>
      <c r="E1222" s="43">
        <v>29413.03824873707</v>
      </c>
      <c r="F1222" s="140">
        <v>1.9726732958391722</v>
      </c>
    </row>
    <row r="1223" spans="1:6">
      <c r="A1223" s="149" t="s">
        <v>2962</v>
      </c>
      <c r="B1223" s="144" t="s">
        <v>1279</v>
      </c>
      <c r="C1223" s="44">
        <v>16135</v>
      </c>
      <c r="D1223" s="153">
        <f t="shared" ref="D1223:D1286" si="19">C1223/32768*4.096/2</f>
        <v>1.0084375000000001</v>
      </c>
      <c r="E1223" s="43">
        <v>29401.190404617333</v>
      </c>
      <c r="F1223" s="140">
        <v>1.9806695814821182</v>
      </c>
    </row>
    <row r="1224" spans="1:6">
      <c r="A1224" s="149" t="s">
        <v>2962</v>
      </c>
      <c r="B1224" s="144" t="s">
        <v>1280</v>
      </c>
      <c r="C1224" s="44">
        <v>16128</v>
      </c>
      <c r="D1224" s="153">
        <f t="shared" si="19"/>
        <v>1.008</v>
      </c>
      <c r="E1224" s="43">
        <v>29384.615384615383</v>
      </c>
      <c r="F1224" s="140">
        <v>1.9918623880693076</v>
      </c>
    </row>
    <row r="1225" spans="1:6">
      <c r="A1225" s="149" t="s">
        <v>2962</v>
      </c>
      <c r="B1225" s="144" t="s">
        <v>1281</v>
      </c>
      <c r="C1225" s="44">
        <v>16121</v>
      </c>
      <c r="D1225" s="153">
        <f t="shared" si="19"/>
        <v>1.0075624999999999</v>
      </c>
      <c r="E1225" s="43">
        <v>29368.054304078814</v>
      </c>
      <c r="F1225" s="140">
        <v>2.0030528713941749</v>
      </c>
    </row>
    <row r="1226" spans="1:6">
      <c r="A1226" s="149" t="s">
        <v>2962</v>
      </c>
      <c r="B1226" s="144" t="s">
        <v>1282</v>
      </c>
      <c r="C1226" s="44">
        <v>16113</v>
      </c>
      <c r="D1226" s="153">
        <f t="shared" si="19"/>
        <v>1.0070625</v>
      </c>
      <c r="E1226" s="43">
        <v>29349.144401080757</v>
      </c>
      <c r="F1226" s="140">
        <v>2.0158391535974829</v>
      </c>
    </row>
    <row r="1227" spans="1:6">
      <c r="A1227" s="149" t="s">
        <v>2962</v>
      </c>
      <c r="B1227" s="144" t="s">
        <v>1283</v>
      </c>
      <c r="C1227" s="44">
        <v>16104</v>
      </c>
      <c r="D1227" s="153">
        <f t="shared" si="19"/>
        <v>1.0065</v>
      </c>
      <c r="E1227" s="43">
        <v>29327.892462794047</v>
      </c>
      <c r="F1227" s="140">
        <v>2.0302201025059503</v>
      </c>
    </row>
    <row r="1228" spans="1:6">
      <c r="A1228" s="149" t="s">
        <v>2962</v>
      </c>
      <c r="B1228" s="144" t="s">
        <v>1284</v>
      </c>
      <c r="C1228" s="44">
        <v>16094</v>
      </c>
      <c r="D1228" s="153">
        <f t="shared" si="19"/>
        <v>1.0058750000000001</v>
      </c>
      <c r="E1228" s="43">
        <v>29304.306105313663</v>
      </c>
      <c r="F1228" s="140">
        <v>2.0461944472070854</v>
      </c>
    </row>
    <row r="1229" spans="1:6">
      <c r="A1229" s="149" t="s">
        <v>2962</v>
      </c>
      <c r="B1229" s="144" t="s">
        <v>1285</v>
      </c>
      <c r="C1229" s="44">
        <v>16083</v>
      </c>
      <c r="D1229" s="153">
        <f t="shared" si="19"/>
        <v>1.0051875000000001</v>
      </c>
      <c r="E1229" s="43">
        <v>29278.393766856465</v>
      </c>
      <c r="F1229" s="140">
        <v>2.0637607790246193</v>
      </c>
    </row>
    <row r="1230" spans="1:6">
      <c r="A1230" s="149" t="s">
        <v>2962</v>
      </c>
      <c r="B1230" s="144" t="s">
        <v>1286</v>
      </c>
      <c r="C1230" s="44">
        <v>16072</v>
      </c>
      <c r="D1230" s="153">
        <f t="shared" si="19"/>
        <v>1.0044999999999999</v>
      </c>
      <c r="E1230" s="43">
        <v>29252.515572592238</v>
      </c>
      <c r="F1230" s="140">
        <v>2.0813214134659574</v>
      </c>
    </row>
    <row r="1231" spans="1:6">
      <c r="A1231" s="149" t="s">
        <v>2962</v>
      </c>
      <c r="B1231" s="144" t="s">
        <v>1287</v>
      </c>
      <c r="C1231" s="44">
        <v>16060</v>
      </c>
      <c r="D1231" s="153">
        <f t="shared" si="19"/>
        <v>1.0037499999999999</v>
      </c>
      <c r="E1231" s="43">
        <v>29224.323677280343</v>
      </c>
      <c r="F1231" s="140">
        <v>2.1004719827275267</v>
      </c>
    </row>
    <row r="1232" spans="1:6">
      <c r="A1232" s="149" t="s">
        <v>2962</v>
      </c>
      <c r="B1232" s="144" t="s">
        <v>1288</v>
      </c>
      <c r="C1232" s="44">
        <v>16047</v>
      </c>
      <c r="D1232" s="153">
        <f t="shared" si="19"/>
        <v>1.0029375</v>
      </c>
      <c r="E1232" s="43">
        <v>29193.828120327733</v>
      </c>
      <c r="F1232" s="140">
        <v>2.1212108087946717</v>
      </c>
    </row>
    <row r="1233" spans="1:6">
      <c r="A1233" s="149" t="s">
        <v>2962</v>
      </c>
      <c r="B1233" s="144" t="s">
        <v>1289</v>
      </c>
      <c r="C1233" s="44">
        <v>16033</v>
      </c>
      <c r="D1233" s="153">
        <f t="shared" si="19"/>
        <v>1.0020625000000001</v>
      </c>
      <c r="E1233" s="43">
        <v>29161.039737077979</v>
      </c>
      <c r="F1233" s="140">
        <v>2.1435360796648979</v>
      </c>
    </row>
    <row r="1234" spans="1:6">
      <c r="A1234" s="149" t="s">
        <v>2962</v>
      </c>
      <c r="B1234" s="144" t="s">
        <v>1290</v>
      </c>
      <c r="C1234" s="44">
        <v>16019</v>
      </c>
      <c r="D1234" s="153">
        <f t="shared" si="19"/>
        <v>1.0011875000000001</v>
      </c>
      <c r="E1234" s="43">
        <v>29128.306167532395</v>
      </c>
      <c r="F1234" s="140">
        <v>2.1658521925756418</v>
      </c>
    </row>
    <row r="1235" spans="1:6">
      <c r="A1235" s="149" t="s">
        <v>2962</v>
      </c>
      <c r="B1235" s="144" t="s">
        <v>1291</v>
      </c>
      <c r="C1235" s="44">
        <v>16004</v>
      </c>
      <c r="D1235" s="153">
        <f t="shared" si="19"/>
        <v>1.0002500000000001</v>
      </c>
      <c r="E1235" s="43">
        <v>29093.295156287284</v>
      </c>
      <c r="F1235" s="140">
        <v>2.1897521734443899</v>
      </c>
    </row>
    <row r="1236" spans="1:6">
      <c r="A1236" s="149" t="s">
        <v>2962</v>
      </c>
      <c r="B1236" s="144" t="s">
        <v>1292</v>
      </c>
      <c r="C1236" s="44">
        <v>15990</v>
      </c>
      <c r="D1236" s="153">
        <f t="shared" si="19"/>
        <v>0.99937500000000001</v>
      </c>
      <c r="E1236" s="43">
        <v>29060.674693050423</v>
      </c>
      <c r="F1236" s="140">
        <v>2.2120493790382056</v>
      </c>
    </row>
    <row r="1237" spans="1:6">
      <c r="A1237" s="149" t="s">
        <v>2962</v>
      </c>
      <c r="B1237" s="144" t="s">
        <v>1293</v>
      </c>
      <c r="C1237" s="44">
        <v>15975</v>
      </c>
      <c r="D1237" s="153">
        <f t="shared" si="19"/>
        <v>0.99843749999999998</v>
      </c>
      <c r="E1237" s="43">
        <v>29025.784553087597</v>
      </c>
      <c r="F1237" s="140">
        <v>2.2359291472847644</v>
      </c>
    </row>
    <row r="1238" spans="1:6">
      <c r="A1238" s="149" t="s">
        <v>2962</v>
      </c>
      <c r="B1238" s="144" t="s">
        <v>1294</v>
      </c>
      <c r="C1238" s="44">
        <v>15960</v>
      </c>
      <c r="D1238" s="153">
        <f t="shared" si="19"/>
        <v>0.99750000000000005</v>
      </c>
      <c r="E1238" s="43">
        <v>28990.956687291768</v>
      </c>
      <c r="F1238" s="140">
        <v>2.259798496118492</v>
      </c>
    </row>
    <row r="1239" spans="1:6">
      <c r="A1239" s="149" t="s">
        <v>2962</v>
      </c>
      <c r="B1239" s="144" t="s">
        <v>1295</v>
      </c>
      <c r="C1239" s="44">
        <v>15945</v>
      </c>
      <c r="D1239" s="153">
        <f t="shared" si="19"/>
        <v>0.99656250000000002</v>
      </c>
      <c r="E1239" s="43">
        <v>28956.19092908518</v>
      </c>
      <c r="F1239" s="140">
        <v>2.2836574495961486</v>
      </c>
    </row>
    <row r="1240" spans="1:6">
      <c r="A1240" s="149" t="s">
        <v>2962</v>
      </c>
      <c r="B1240" s="144" t="s">
        <v>1296</v>
      </c>
      <c r="C1240" s="44">
        <v>15931</v>
      </c>
      <c r="D1240" s="153">
        <f t="shared" si="19"/>
        <v>0.99568750000000006</v>
      </c>
      <c r="E1240" s="43">
        <v>28923.798776504129</v>
      </c>
      <c r="F1240" s="140">
        <v>2.3059164484278654</v>
      </c>
    </row>
    <row r="1241" spans="1:6">
      <c r="A1241" s="149" t="s">
        <v>2962</v>
      </c>
      <c r="B1241" s="144" t="s">
        <v>1297</v>
      </c>
      <c r="C1241" s="44">
        <v>15916</v>
      </c>
      <c r="D1241" s="153">
        <f t="shared" si="19"/>
        <v>0.99475000000000002</v>
      </c>
      <c r="E1241" s="43">
        <v>28889.152622834084</v>
      </c>
      <c r="F1241" s="140">
        <v>2.329755372223417</v>
      </c>
    </row>
    <row r="1242" spans="1:6">
      <c r="A1242" s="149" t="s">
        <v>2962</v>
      </c>
      <c r="B1242" s="144" t="s">
        <v>1298</v>
      </c>
      <c r="C1242" s="44">
        <v>15902</v>
      </c>
      <c r="D1242" s="153">
        <f t="shared" si="19"/>
        <v>0.99387500000000006</v>
      </c>
      <c r="E1242" s="43">
        <v>28856.871813115144</v>
      </c>
      <c r="F1242" s="140">
        <v>2.3519957184088298</v>
      </c>
    </row>
    <row r="1243" spans="1:6">
      <c r="A1243" s="149" t="s">
        <v>2962</v>
      </c>
      <c r="B1243" s="144" t="s">
        <v>1299</v>
      </c>
      <c r="C1243" s="44">
        <v>15888</v>
      </c>
      <c r="D1243" s="153">
        <f t="shared" si="19"/>
        <v>0.99299999999999999</v>
      </c>
      <c r="E1243" s="43">
        <v>28824.644549763034</v>
      </c>
      <c r="F1243" s="140">
        <v>2.3742270896569266</v>
      </c>
    </row>
    <row r="1244" spans="1:6">
      <c r="A1244" s="149" t="s">
        <v>2962</v>
      </c>
      <c r="B1244" s="144" t="s">
        <v>1300</v>
      </c>
      <c r="C1244" s="44">
        <v>15875</v>
      </c>
      <c r="D1244" s="153">
        <f t="shared" si="19"/>
        <v>0.9921875</v>
      </c>
      <c r="E1244" s="43">
        <v>28794.767063280648</v>
      </c>
      <c r="F1244" s="140">
        <v>2.3948624864896146</v>
      </c>
    </row>
    <row r="1245" spans="1:6">
      <c r="A1245" s="149" t="s">
        <v>2962</v>
      </c>
      <c r="B1245" s="144" t="s">
        <v>1301</v>
      </c>
      <c r="C1245" s="44">
        <v>15861</v>
      </c>
      <c r="D1245" s="153">
        <f t="shared" si="19"/>
        <v>0.99131250000000004</v>
      </c>
      <c r="E1245" s="43">
        <v>28762.642692375939</v>
      </c>
      <c r="F1245" s="140">
        <v>2.4170766035099405</v>
      </c>
    </row>
    <row r="1246" spans="1:6">
      <c r="A1246" s="149" t="s">
        <v>2962</v>
      </c>
      <c r="B1246" s="144" t="s">
        <v>1302</v>
      </c>
      <c r="C1246" s="44">
        <v>15849</v>
      </c>
      <c r="D1246" s="153">
        <f t="shared" si="19"/>
        <v>0.99056250000000001</v>
      </c>
      <c r="E1246" s="43">
        <v>28735.149831550327</v>
      </c>
      <c r="F1246" s="140">
        <v>2.4361101761816712</v>
      </c>
    </row>
    <row r="1247" spans="1:6">
      <c r="A1247" s="149" t="s">
        <v>2962</v>
      </c>
      <c r="B1247" s="144" t="s">
        <v>1303</v>
      </c>
      <c r="C1247" s="44">
        <v>15836</v>
      </c>
      <c r="D1247" s="153">
        <f t="shared" si="19"/>
        <v>0.98975000000000002</v>
      </c>
      <c r="E1247" s="43">
        <v>28705.409874793291</v>
      </c>
      <c r="F1247" s="140">
        <v>2.4567224998532424</v>
      </c>
    </row>
    <row r="1248" spans="1:6">
      <c r="A1248" s="149" t="s">
        <v>2962</v>
      </c>
      <c r="B1248" s="144" t="s">
        <v>1304</v>
      </c>
      <c r="C1248" s="44">
        <v>15824</v>
      </c>
      <c r="D1248" s="153">
        <f t="shared" si="19"/>
        <v>0.98899999999999999</v>
      </c>
      <c r="E1248" s="43">
        <v>28677.998111425874</v>
      </c>
      <c r="F1248" s="140">
        <v>2.4757424607396956</v>
      </c>
    </row>
    <row r="1249" spans="1:6">
      <c r="A1249" s="149" t="s">
        <v>2962</v>
      </c>
      <c r="B1249" s="144" t="s">
        <v>1305</v>
      </c>
      <c r="C1249" s="44">
        <v>15812</v>
      </c>
      <c r="D1249" s="153">
        <f t="shared" si="19"/>
        <v>0.98825000000000007</v>
      </c>
      <c r="E1249" s="43">
        <v>28650.625147440434</v>
      </c>
      <c r="F1249" s="140">
        <v>2.4947559065706741</v>
      </c>
    </row>
    <row r="1250" spans="1:6">
      <c r="A1250" s="149" t="s">
        <v>2962</v>
      </c>
      <c r="B1250" s="144" t="s">
        <v>1306</v>
      </c>
      <c r="C1250" s="44">
        <v>15801</v>
      </c>
      <c r="D1250" s="153">
        <f t="shared" si="19"/>
        <v>0.98756250000000001</v>
      </c>
      <c r="E1250" s="43">
        <v>28625.567277656628</v>
      </c>
      <c r="F1250" s="140">
        <v>2.5121791855665947</v>
      </c>
    </row>
    <row r="1251" spans="1:6">
      <c r="A1251" s="149" t="s">
        <v>2962</v>
      </c>
      <c r="B1251" s="144" t="s">
        <v>1307</v>
      </c>
      <c r="C1251" s="44">
        <v>15790</v>
      </c>
      <c r="D1251" s="153">
        <f t="shared" si="19"/>
        <v>0.98687500000000006</v>
      </c>
      <c r="E1251" s="43">
        <v>28600.541877724114</v>
      </c>
      <c r="F1251" s="140">
        <v>2.5295970094734344</v>
      </c>
    </row>
    <row r="1252" spans="1:6">
      <c r="A1252" s="149" t="s">
        <v>2962</v>
      </c>
      <c r="B1252" s="144" t="s">
        <v>1308</v>
      </c>
      <c r="C1252" s="44">
        <v>15780</v>
      </c>
      <c r="D1252" s="153">
        <f t="shared" si="19"/>
        <v>0.98625000000000007</v>
      </c>
      <c r="E1252" s="43">
        <v>28577.819637391098</v>
      </c>
      <c r="F1252" s="140">
        <v>2.5454266688623193</v>
      </c>
    </row>
    <row r="1253" spans="1:6">
      <c r="A1253" s="149" t="s">
        <v>2962</v>
      </c>
      <c r="B1253" s="144" t="s">
        <v>1309</v>
      </c>
      <c r="C1253" s="44">
        <v>15770</v>
      </c>
      <c r="D1253" s="153">
        <f t="shared" si="19"/>
        <v>0.98562499999999997</v>
      </c>
      <c r="E1253" s="43">
        <v>28555.124132250854</v>
      </c>
      <c r="F1253" s="140">
        <v>2.5612518344781279</v>
      </c>
    </row>
    <row r="1254" spans="1:6">
      <c r="A1254" s="149" t="s">
        <v>2962</v>
      </c>
      <c r="B1254" s="144" t="s">
        <v>1310</v>
      </c>
      <c r="C1254" s="44">
        <v>15760</v>
      </c>
      <c r="D1254" s="153">
        <f t="shared" si="19"/>
        <v>0.98499999999999999</v>
      </c>
      <c r="E1254" s="43">
        <v>28532.455315145813</v>
      </c>
      <c r="F1254" s="140">
        <v>2.5770725132399548</v>
      </c>
    </row>
    <row r="1255" spans="1:6">
      <c r="A1255" s="149" t="s">
        <v>2962</v>
      </c>
      <c r="B1255" s="144" t="s">
        <v>1311</v>
      </c>
      <c r="C1255" s="44">
        <v>15751</v>
      </c>
      <c r="D1255" s="153">
        <f t="shared" si="19"/>
        <v>0.98443749999999997</v>
      </c>
      <c r="E1255" s="43">
        <v>28512.076159134984</v>
      </c>
      <c r="F1255" s="140">
        <v>2.5913072935754826</v>
      </c>
    </row>
    <row r="1256" spans="1:6">
      <c r="A1256" s="149" t="s">
        <v>2962</v>
      </c>
      <c r="B1256" s="144" t="s">
        <v>1312</v>
      </c>
      <c r="C1256" s="44">
        <v>15742</v>
      </c>
      <c r="D1256" s="153">
        <f t="shared" si="19"/>
        <v>0.98387500000000006</v>
      </c>
      <c r="E1256" s="43">
        <v>28491.718548102901</v>
      </c>
      <c r="F1256" s="140">
        <v>2.6055384501844401</v>
      </c>
    </row>
    <row r="1257" spans="1:6">
      <c r="A1257" s="149" t="s">
        <v>2962</v>
      </c>
      <c r="B1257" s="144" t="s">
        <v>1313</v>
      </c>
      <c r="C1257" s="44">
        <v>15734</v>
      </c>
      <c r="D1257" s="153">
        <f t="shared" si="19"/>
        <v>0.983375</v>
      </c>
      <c r="E1257" s="43">
        <v>28473.640953387345</v>
      </c>
      <c r="F1257" s="140">
        <v>2.6181853290892718</v>
      </c>
    </row>
    <row r="1258" spans="1:6">
      <c r="A1258" s="149" t="s">
        <v>2962</v>
      </c>
      <c r="B1258" s="144" t="s">
        <v>1314</v>
      </c>
      <c r="C1258" s="44">
        <v>15726</v>
      </c>
      <c r="D1258" s="153">
        <f t="shared" si="19"/>
        <v>0.98287500000000005</v>
      </c>
      <c r="E1258" s="43">
        <v>28455.580330947072</v>
      </c>
      <c r="F1258" s="140">
        <v>2.630829352293631</v>
      </c>
    </row>
    <row r="1259" spans="1:6">
      <c r="A1259" s="149" t="s">
        <v>2962</v>
      </c>
      <c r="B1259" s="144" t="s">
        <v>1315</v>
      </c>
      <c r="C1259" s="44">
        <v>15718</v>
      </c>
      <c r="D1259" s="153">
        <f t="shared" si="19"/>
        <v>0.982375</v>
      </c>
      <c r="E1259" s="43">
        <v>28437.536656891494</v>
      </c>
      <c r="F1259" s="140">
        <v>2.6434705233155569</v>
      </c>
    </row>
    <row r="1260" spans="1:6">
      <c r="A1260" s="149" t="s">
        <v>2962</v>
      </c>
      <c r="B1260" s="144" t="s">
        <v>1316</v>
      </c>
      <c r="C1260" s="44">
        <v>15711</v>
      </c>
      <c r="D1260" s="153">
        <f t="shared" si="19"/>
        <v>0.98193750000000002</v>
      </c>
      <c r="E1260" s="43">
        <v>28421.762326317639</v>
      </c>
      <c r="F1260" s="140">
        <v>2.6545292110413925</v>
      </c>
    </row>
    <row r="1261" spans="1:6">
      <c r="A1261" s="149" t="s">
        <v>2962</v>
      </c>
      <c r="B1261" s="144" t="s">
        <v>1317</v>
      </c>
      <c r="C1261" s="44">
        <v>15704</v>
      </c>
      <c r="D1261" s="153">
        <f t="shared" si="19"/>
        <v>0.98150000000000004</v>
      </c>
      <c r="E1261" s="43">
        <v>28406.000937646506</v>
      </c>
      <c r="F1261" s="140">
        <v>2.665585720107174</v>
      </c>
    </row>
    <row r="1262" spans="1:6">
      <c r="A1262" s="149" t="s">
        <v>2962</v>
      </c>
      <c r="B1262" s="144" t="s">
        <v>1318</v>
      </c>
      <c r="C1262" s="44">
        <v>15697</v>
      </c>
      <c r="D1262" s="153">
        <f t="shared" si="19"/>
        <v>0.98106250000000006</v>
      </c>
      <c r="E1262" s="43">
        <v>28390.252474957531</v>
      </c>
      <c r="F1262" s="140">
        <v>2.6766400528616145</v>
      </c>
    </row>
    <row r="1263" spans="1:6">
      <c r="A1263" s="149" t="s">
        <v>2962</v>
      </c>
      <c r="B1263" s="144" t="s">
        <v>1319</v>
      </c>
      <c r="C1263" s="44">
        <v>15691</v>
      </c>
      <c r="D1263" s="153">
        <f t="shared" si="19"/>
        <v>0.98068750000000005</v>
      </c>
      <c r="E1263" s="43">
        <v>28376.76406863032</v>
      </c>
      <c r="F1263" s="140">
        <v>2.6861134648352163</v>
      </c>
    </row>
    <row r="1264" spans="1:6">
      <c r="A1264" s="149" t="s">
        <v>2962</v>
      </c>
      <c r="B1264" s="144" t="s">
        <v>1320</v>
      </c>
      <c r="C1264" s="44">
        <v>15685</v>
      </c>
      <c r="D1264" s="153">
        <f t="shared" si="19"/>
        <v>0.98031250000000003</v>
      </c>
      <c r="E1264" s="43">
        <v>28363.28513727097</v>
      </c>
      <c r="F1264" s="140">
        <v>2.6955852810863234</v>
      </c>
    </row>
    <row r="1265" spans="1:6">
      <c r="A1265" s="149" t="s">
        <v>2962</v>
      </c>
      <c r="B1265" s="144" t="s">
        <v>1321</v>
      </c>
      <c r="C1265" s="44">
        <v>15679</v>
      </c>
      <c r="D1265" s="153">
        <f t="shared" si="19"/>
        <v>0.97993750000000002</v>
      </c>
      <c r="E1265" s="43">
        <v>28349.81567089941</v>
      </c>
      <c r="F1265" s="140">
        <v>2.7050555030897954</v>
      </c>
    </row>
    <row r="1266" spans="1:6">
      <c r="A1266" s="149" t="s">
        <v>2962</v>
      </c>
      <c r="B1266" s="144" t="s">
        <v>1322</v>
      </c>
      <c r="C1266" s="44">
        <v>15673</v>
      </c>
      <c r="D1266" s="153">
        <f t="shared" si="19"/>
        <v>0.9795625</v>
      </c>
      <c r="E1266" s="43">
        <v>28336.355659549576</v>
      </c>
      <c r="F1266" s="140">
        <v>2.7145241323191271</v>
      </c>
    </row>
    <row r="1267" spans="1:6">
      <c r="A1267" s="149" t="s">
        <v>2962</v>
      </c>
      <c r="B1267" s="144" t="s">
        <v>1323</v>
      </c>
      <c r="C1267" s="44">
        <v>15668</v>
      </c>
      <c r="D1267" s="153">
        <f t="shared" si="19"/>
        <v>0.97925000000000006</v>
      </c>
      <c r="E1267" s="43">
        <v>28325.146198830411</v>
      </c>
      <c r="F1267" s="140">
        <v>2.7224134410365082</v>
      </c>
    </row>
    <row r="1268" spans="1:6">
      <c r="A1268" s="149" t="s">
        <v>2962</v>
      </c>
      <c r="B1268" s="144" t="s">
        <v>1324</v>
      </c>
      <c r="C1268" s="44">
        <v>15663</v>
      </c>
      <c r="D1268" s="153">
        <f t="shared" si="19"/>
        <v>0.97893750000000002</v>
      </c>
      <c r="E1268" s="43">
        <v>28313.943291435255</v>
      </c>
      <c r="F1268" s="140">
        <v>2.7303016455343254</v>
      </c>
    </row>
    <row r="1269" spans="1:6">
      <c r="A1269" s="149" t="s">
        <v>2962</v>
      </c>
      <c r="B1269" s="144" t="s">
        <v>1325</v>
      </c>
      <c r="C1269" s="44">
        <v>15658</v>
      </c>
      <c r="D1269" s="153">
        <f t="shared" si="19"/>
        <v>0.97862499999999997</v>
      </c>
      <c r="E1269" s="43">
        <v>28302.746931618938</v>
      </c>
      <c r="F1269" s="140">
        <v>2.7381887466630701</v>
      </c>
    </row>
    <row r="1270" spans="1:6">
      <c r="A1270" s="149" t="s">
        <v>2962</v>
      </c>
      <c r="B1270" s="144" t="s">
        <v>1326</v>
      </c>
      <c r="C1270" s="44">
        <v>15653</v>
      </c>
      <c r="D1270" s="153">
        <f t="shared" si="19"/>
        <v>0.97831250000000003</v>
      </c>
      <c r="E1270" s="43">
        <v>28291.557113643004</v>
      </c>
      <c r="F1270" s="140">
        <v>2.7460747452727787</v>
      </c>
    </row>
    <row r="1271" spans="1:6">
      <c r="A1271" s="149" t="s">
        <v>2962</v>
      </c>
      <c r="B1271" s="144" t="s">
        <v>1327</v>
      </c>
      <c r="C1271" s="44">
        <v>15649</v>
      </c>
      <c r="D1271" s="153">
        <f t="shared" si="19"/>
        <v>0.97806250000000006</v>
      </c>
      <c r="E1271" s="43">
        <v>28282.609965535368</v>
      </c>
      <c r="F1271" s="140">
        <v>2.7523827509174907</v>
      </c>
    </row>
    <row r="1272" spans="1:6">
      <c r="A1272" s="149" t="s">
        <v>2962</v>
      </c>
      <c r="B1272" s="144" t="s">
        <v>1328</v>
      </c>
      <c r="C1272" s="44">
        <v>15645</v>
      </c>
      <c r="D1272" s="153">
        <f t="shared" si="19"/>
        <v>0.97781249999999997</v>
      </c>
      <c r="E1272" s="43">
        <v>28273.66699760556</v>
      </c>
      <c r="F1272" s="140">
        <v>2.758690051928113</v>
      </c>
    </row>
    <row r="1273" spans="1:6">
      <c r="A1273" s="149" t="s">
        <v>2962</v>
      </c>
      <c r="B1273" s="144" t="s">
        <v>1329</v>
      </c>
      <c r="C1273" s="44">
        <v>15641</v>
      </c>
      <c r="D1273" s="153">
        <f t="shared" si="19"/>
        <v>0.9775625</v>
      </c>
      <c r="E1273" s="43">
        <v>28264.728206924738</v>
      </c>
      <c r="F1273" s="140">
        <v>2.7649966487388724</v>
      </c>
    </row>
    <row r="1274" spans="1:6">
      <c r="A1274" s="149" t="s">
        <v>2962</v>
      </c>
      <c r="B1274" s="144" t="s">
        <v>1330</v>
      </c>
      <c r="C1274" s="44">
        <v>15637</v>
      </c>
      <c r="D1274" s="153">
        <f t="shared" si="19"/>
        <v>0.97731250000000003</v>
      </c>
      <c r="E1274" s="43">
        <v>28255.793590566809</v>
      </c>
      <c r="F1274" s="140">
        <v>2.7713025417837684</v>
      </c>
    </row>
    <row r="1275" spans="1:6">
      <c r="A1275" s="149" t="s">
        <v>2962</v>
      </c>
      <c r="B1275" s="144" t="s">
        <v>1331</v>
      </c>
      <c r="C1275" s="44">
        <v>15633</v>
      </c>
      <c r="D1275" s="153">
        <f t="shared" si="19"/>
        <v>0.97706250000000006</v>
      </c>
      <c r="E1275" s="43">
        <v>28246.863145608404</v>
      </c>
      <c r="F1275" s="140">
        <v>2.7776077314965733</v>
      </c>
    </row>
    <row r="1276" spans="1:6">
      <c r="A1276" s="149" t="s">
        <v>2962</v>
      </c>
      <c r="B1276" s="144" t="s">
        <v>1332</v>
      </c>
      <c r="C1276" s="44">
        <v>15630</v>
      </c>
      <c r="D1276" s="153">
        <f t="shared" si="19"/>
        <v>0.97687500000000005</v>
      </c>
      <c r="E1276" s="43">
        <v>28240.16804761349</v>
      </c>
      <c r="F1276" s="140">
        <v>2.7823361624803056</v>
      </c>
    </row>
    <row r="1277" spans="1:6">
      <c r="A1277" s="149" t="s">
        <v>2962</v>
      </c>
      <c r="B1277" s="144" t="s">
        <v>1333</v>
      </c>
      <c r="C1277" s="44">
        <v>15626</v>
      </c>
      <c r="D1277" s="153">
        <f t="shared" si="19"/>
        <v>0.97662499999999997</v>
      </c>
      <c r="E1277" s="43">
        <v>28231.244895578111</v>
      </c>
      <c r="F1277" s="140">
        <v>2.7886401224048996</v>
      </c>
    </row>
    <row r="1278" spans="1:6">
      <c r="A1278" s="149" t="s">
        <v>2962</v>
      </c>
      <c r="B1278" s="145" t="s">
        <v>1334</v>
      </c>
      <c r="C1278" s="142">
        <v>15623</v>
      </c>
      <c r="D1278" s="153">
        <f t="shared" si="19"/>
        <v>0.97643750000000007</v>
      </c>
      <c r="E1278" s="143">
        <v>28224.555263925344</v>
      </c>
      <c r="F1278" s="141">
        <v>2.7933676315448679</v>
      </c>
    </row>
    <row r="1279" spans="1:6">
      <c r="A1279" s="149" t="s">
        <v>2962</v>
      </c>
      <c r="B1279" s="144" t="s">
        <v>1335</v>
      </c>
      <c r="C1279" s="44">
        <v>15620</v>
      </c>
      <c r="D1279" s="153">
        <f t="shared" si="19"/>
        <v>0.97625000000000006</v>
      </c>
      <c r="E1279" s="43">
        <v>28217.867972941451</v>
      </c>
      <c r="F1279" s="140">
        <v>2.7980947459132608</v>
      </c>
    </row>
    <row r="1280" spans="1:6">
      <c r="A1280" s="149" t="s">
        <v>2962</v>
      </c>
      <c r="B1280" s="144" t="s">
        <v>1336</v>
      </c>
      <c r="C1280" s="44">
        <v>15617</v>
      </c>
      <c r="D1280" s="153">
        <f t="shared" si="19"/>
        <v>0.97606250000000006</v>
      </c>
      <c r="E1280" s="43">
        <v>28211.18302139817</v>
      </c>
      <c r="F1280" s="140">
        <v>2.8028214656926593</v>
      </c>
    </row>
    <row r="1281" spans="1:6">
      <c r="A1281" s="149" t="s">
        <v>2962</v>
      </c>
      <c r="B1281" s="144" t="s">
        <v>1337</v>
      </c>
      <c r="C1281" s="44">
        <v>15614</v>
      </c>
      <c r="D1281" s="153">
        <f t="shared" si="19"/>
        <v>0.97587500000000005</v>
      </c>
      <c r="E1281" s="43">
        <v>28204.500408068088</v>
      </c>
      <c r="F1281" s="140">
        <v>2.807547791065474</v>
      </c>
    </row>
    <row r="1282" spans="1:6">
      <c r="A1282" s="149" t="s">
        <v>2962</v>
      </c>
      <c r="B1282" s="144" t="s">
        <v>1338</v>
      </c>
      <c r="C1282" s="44">
        <v>15611</v>
      </c>
      <c r="D1282" s="153">
        <f t="shared" si="19"/>
        <v>0.97568750000000004</v>
      </c>
      <c r="E1282" s="43">
        <v>28197.82013172466</v>
      </c>
      <c r="F1282" s="140">
        <v>2.8122737222140017</v>
      </c>
    </row>
    <row r="1283" spans="1:6">
      <c r="A1283" s="149" t="s">
        <v>2962</v>
      </c>
      <c r="B1283" s="144" t="s">
        <v>1339</v>
      </c>
      <c r="C1283" s="44">
        <v>15608</v>
      </c>
      <c r="D1283" s="153">
        <f t="shared" si="19"/>
        <v>0.97550000000000003</v>
      </c>
      <c r="E1283" s="43">
        <v>28191.142191142189</v>
      </c>
      <c r="F1283" s="140">
        <v>2.8169992593205393</v>
      </c>
    </row>
    <row r="1284" spans="1:6">
      <c r="A1284" s="149" t="s">
        <v>2962</v>
      </c>
      <c r="B1284" s="144" t="s">
        <v>1340</v>
      </c>
      <c r="C1284" s="44">
        <v>15606</v>
      </c>
      <c r="D1284" s="153">
        <f t="shared" si="19"/>
        <v>0.97537499999999999</v>
      </c>
      <c r="E1284" s="43">
        <v>28186.691527793962</v>
      </c>
      <c r="F1284" s="140">
        <v>2.820149398569356</v>
      </c>
    </row>
    <row r="1285" spans="1:6">
      <c r="A1285" s="149" t="s">
        <v>2962</v>
      </c>
      <c r="B1285" s="144" t="s">
        <v>1341</v>
      </c>
      <c r="C1285" s="44">
        <v>15603</v>
      </c>
      <c r="D1285" s="153">
        <f t="shared" si="19"/>
        <v>0.97518749999999998</v>
      </c>
      <c r="E1285" s="43">
        <v>28180.017477424994</v>
      </c>
      <c r="F1285" s="140">
        <v>2.8248742793440442</v>
      </c>
    </row>
    <row r="1286" spans="1:6">
      <c r="A1286" s="149" t="s">
        <v>2962</v>
      </c>
      <c r="B1286" s="144" t="s">
        <v>1342</v>
      </c>
      <c r="C1286" s="44">
        <v>15601</v>
      </c>
      <c r="D1286" s="153">
        <f t="shared" si="19"/>
        <v>0.97506250000000005</v>
      </c>
      <c r="E1286" s="43">
        <v>28175.569406419294</v>
      </c>
      <c r="F1286" s="140">
        <v>2.8280239812068544</v>
      </c>
    </row>
    <row r="1287" spans="1:6">
      <c r="A1287" s="149" t="s">
        <v>2962</v>
      </c>
      <c r="B1287" s="144" t="s">
        <v>1343</v>
      </c>
      <c r="C1287" s="44">
        <v>15599</v>
      </c>
      <c r="D1287" s="153">
        <f t="shared" ref="D1287:D1350" si="20">C1287/32768*4.096/2</f>
        <v>0.97493750000000001</v>
      </c>
      <c r="E1287" s="43">
        <v>28171.122371716465</v>
      </c>
      <c r="F1287" s="140">
        <v>2.8311735082095879</v>
      </c>
    </row>
    <row r="1288" spans="1:6">
      <c r="A1288" s="149" t="s">
        <v>2962</v>
      </c>
      <c r="B1288" s="144" t="s">
        <v>1344</v>
      </c>
      <c r="C1288" s="44">
        <v>15597</v>
      </c>
      <c r="D1288" s="153">
        <f t="shared" si="20"/>
        <v>0.97481249999999997</v>
      </c>
      <c r="E1288" s="43">
        <v>28166.6763729544</v>
      </c>
      <c r="F1288" s="140">
        <v>2.8343228604061892</v>
      </c>
    </row>
    <row r="1289" spans="1:6">
      <c r="A1289" s="149" t="s">
        <v>2962</v>
      </c>
      <c r="B1289" s="144" t="s">
        <v>1345</v>
      </c>
      <c r="C1289" s="44">
        <v>15595</v>
      </c>
      <c r="D1289" s="153">
        <f t="shared" si="20"/>
        <v>0.97468750000000004</v>
      </c>
      <c r="E1289" s="43">
        <v>28162.231409771153</v>
      </c>
      <c r="F1289" s="140">
        <v>2.8374720378506026</v>
      </c>
    </row>
    <row r="1290" spans="1:6">
      <c r="A1290" s="149" t="s">
        <v>2962</v>
      </c>
      <c r="B1290" s="144" t="s">
        <v>1346</v>
      </c>
      <c r="C1290" s="44">
        <v>15593</v>
      </c>
      <c r="D1290" s="153">
        <f t="shared" si="20"/>
        <v>0.9745625</v>
      </c>
      <c r="E1290" s="43">
        <v>28157.787481804949</v>
      </c>
      <c r="F1290" s="140">
        <v>2.8406210405966021</v>
      </c>
    </row>
    <row r="1291" spans="1:6">
      <c r="A1291" s="149" t="s">
        <v>2962</v>
      </c>
      <c r="B1291" s="144" t="s">
        <v>1347</v>
      </c>
      <c r="C1291" s="44">
        <v>15591</v>
      </c>
      <c r="D1291" s="153">
        <f t="shared" si="20"/>
        <v>0.97443750000000007</v>
      </c>
      <c r="E1291" s="43">
        <v>28153.344588694184</v>
      </c>
      <c r="F1291" s="140">
        <v>2.8437698686980752</v>
      </c>
    </row>
    <row r="1292" spans="1:6">
      <c r="A1292" s="149" t="s">
        <v>2962</v>
      </c>
      <c r="B1292" s="144" t="s">
        <v>1348</v>
      </c>
      <c r="C1292" s="44">
        <v>15589</v>
      </c>
      <c r="D1292" s="153">
        <f t="shared" si="20"/>
        <v>0.97431250000000003</v>
      </c>
      <c r="E1292" s="43">
        <v>28148.902730077421</v>
      </c>
      <c r="F1292" s="140">
        <v>2.8469185222087958</v>
      </c>
    </row>
    <row r="1293" spans="1:6">
      <c r="A1293" s="149" t="s">
        <v>2962</v>
      </c>
      <c r="B1293" s="144" t="s">
        <v>1349</v>
      </c>
      <c r="C1293" s="44">
        <v>15587</v>
      </c>
      <c r="D1293" s="153">
        <f t="shared" si="20"/>
        <v>0.97418749999999998</v>
      </c>
      <c r="E1293" s="43">
        <v>28144.461905593387</v>
      </c>
      <c r="F1293" s="140">
        <v>2.8500670011826514</v>
      </c>
    </row>
    <row r="1294" spans="1:6">
      <c r="A1294" s="149" t="s">
        <v>2962</v>
      </c>
      <c r="B1294" s="144" t="s">
        <v>1350</v>
      </c>
      <c r="C1294" s="44">
        <v>15585</v>
      </c>
      <c r="D1294" s="153">
        <f t="shared" si="20"/>
        <v>0.97406250000000005</v>
      </c>
      <c r="E1294" s="43">
        <v>28140.022114880987</v>
      </c>
      <c r="F1294" s="140">
        <v>2.8532153056735297</v>
      </c>
    </row>
    <row r="1295" spans="1:6">
      <c r="A1295" s="149" t="s">
        <v>2962</v>
      </c>
      <c r="B1295" s="144" t="s">
        <v>1351</v>
      </c>
      <c r="C1295" s="44">
        <v>15583</v>
      </c>
      <c r="D1295" s="153">
        <f t="shared" si="20"/>
        <v>0.97393750000000001</v>
      </c>
      <c r="E1295" s="43">
        <v>28135.583357579286</v>
      </c>
      <c r="F1295" s="140">
        <v>2.8563634357350338</v>
      </c>
    </row>
    <row r="1296" spans="1:6">
      <c r="A1296" s="149" t="s">
        <v>2962</v>
      </c>
      <c r="B1296" s="144" t="s">
        <v>1352</v>
      </c>
      <c r="C1296" s="44">
        <v>15582</v>
      </c>
      <c r="D1296" s="153">
        <f t="shared" si="20"/>
        <v>0.97387500000000005</v>
      </c>
      <c r="E1296" s="43">
        <v>28133.3643663447</v>
      </c>
      <c r="F1296" s="140">
        <v>2.8579374353716389</v>
      </c>
    </row>
    <row r="1297" spans="1:6">
      <c r="A1297" s="149" t="s">
        <v>2962</v>
      </c>
      <c r="B1297" s="144" t="s">
        <v>1353</v>
      </c>
      <c r="C1297" s="44">
        <v>15580</v>
      </c>
      <c r="D1297" s="153">
        <f t="shared" si="20"/>
        <v>0.97375</v>
      </c>
      <c r="E1297" s="43">
        <v>28128.927158482664</v>
      </c>
      <c r="F1297" s="140">
        <v>2.8610853038900927</v>
      </c>
    </row>
    <row r="1298" spans="1:6">
      <c r="A1298" s="149" t="s">
        <v>2962</v>
      </c>
      <c r="B1298" s="144" t="s">
        <v>1354</v>
      </c>
      <c r="C1298" s="44">
        <v>15579</v>
      </c>
      <c r="D1298" s="153">
        <f t="shared" si="20"/>
        <v>0.97368750000000004</v>
      </c>
      <c r="E1298" s="43">
        <v>28126.708941765082</v>
      </c>
      <c r="F1298" s="140">
        <v>2.8626591727853565</v>
      </c>
    </row>
    <row r="1299" spans="1:6">
      <c r="A1299" s="149" t="s">
        <v>2962</v>
      </c>
      <c r="B1299" s="144" t="s">
        <v>1355</v>
      </c>
      <c r="C1299" s="44">
        <v>15577</v>
      </c>
      <c r="D1299" s="153">
        <f t="shared" si="20"/>
        <v>0.9735625</v>
      </c>
      <c r="E1299" s="43">
        <v>28122.273282531558</v>
      </c>
      <c r="F1299" s="140">
        <v>2.8658067798815523</v>
      </c>
    </row>
    <row r="1300" spans="1:6">
      <c r="A1300" s="149" t="s">
        <v>2962</v>
      </c>
      <c r="B1300" s="144" t="s">
        <v>1356</v>
      </c>
      <c r="C1300" s="44">
        <v>15576</v>
      </c>
      <c r="D1300" s="153">
        <f t="shared" si="20"/>
        <v>0.97350000000000003</v>
      </c>
      <c r="E1300" s="43">
        <v>28120.055839925546</v>
      </c>
      <c r="F1300" s="140">
        <v>2.8673805180959562</v>
      </c>
    </row>
    <row r="1301" spans="1:6">
      <c r="A1301" s="149" t="s">
        <v>2962</v>
      </c>
      <c r="B1301" s="144" t="s">
        <v>1357</v>
      </c>
      <c r="C1301" s="44">
        <v>15574</v>
      </c>
      <c r="D1301" s="153">
        <f t="shared" si="20"/>
        <v>0.97337499999999999</v>
      </c>
      <c r="E1301" s="43">
        <v>28115.621728509945</v>
      </c>
      <c r="F1301" s="140">
        <v>2.8705278638908567</v>
      </c>
    </row>
    <row r="1302" spans="1:6">
      <c r="A1302" s="149" t="s">
        <v>2962</v>
      </c>
      <c r="B1302" s="144" t="s">
        <v>1358</v>
      </c>
      <c r="C1302" s="44">
        <v>15573</v>
      </c>
      <c r="D1302" s="153">
        <f t="shared" si="20"/>
        <v>0.97331250000000002</v>
      </c>
      <c r="E1302" s="43">
        <v>28113.405059610352</v>
      </c>
      <c r="F1302" s="140">
        <v>2.8721014714847684</v>
      </c>
    </row>
    <row r="1303" spans="1:6">
      <c r="A1303" s="149" t="s">
        <v>2962</v>
      </c>
      <c r="B1303" s="144" t="s">
        <v>1359</v>
      </c>
      <c r="C1303" s="44">
        <v>15572</v>
      </c>
      <c r="D1303" s="153">
        <f t="shared" si="20"/>
        <v>0.97325000000000006</v>
      </c>
      <c r="E1303" s="43">
        <v>28111.188648522912</v>
      </c>
      <c r="F1303" s="140">
        <v>2.8736750355520257</v>
      </c>
    </row>
    <row r="1304" spans="1:6">
      <c r="A1304" s="149" t="s">
        <v>2962</v>
      </c>
      <c r="B1304" s="144" t="s">
        <v>1360</v>
      </c>
      <c r="C1304" s="44">
        <v>15570</v>
      </c>
      <c r="D1304" s="153">
        <f t="shared" si="20"/>
        <v>0.97312500000000002</v>
      </c>
      <c r="E1304" s="43">
        <v>28106.756599604607</v>
      </c>
      <c r="F1304" s="140">
        <v>2.8768220331330667</v>
      </c>
    </row>
    <row r="1305" spans="1:6">
      <c r="A1305" s="149" t="s">
        <v>2962</v>
      </c>
      <c r="B1305" s="144" t="s">
        <v>1361</v>
      </c>
      <c r="C1305" s="44">
        <v>15569</v>
      </c>
      <c r="D1305" s="153">
        <f t="shared" si="20"/>
        <v>0.97306250000000005</v>
      </c>
      <c r="E1305" s="43">
        <v>28104.540961683819</v>
      </c>
      <c r="F1305" s="140">
        <v>2.878395466660379</v>
      </c>
    </row>
    <row r="1306" spans="1:6">
      <c r="A1306" s="149" t="s">
        <v>2962</v>
      </c>
      <c r="B1306" s="144" t="s">
        <v>1362</v>
      </c>
      <c r="C1306" s="44">
        <v>15568</v>
      </c>
      <c r="D1306" s="153">
        <f t="shared" si="20"/>
        <v>0.97299999999999998</v>
      </c>
      <c r="E1306" s="43">
        <v>28102.325581395347</v>
      </c>
      <c r="F1306" s="140">
        <v>2.8799688566877535</v>
      </c>
    </row>
    <row r="1307" spans="1:6">
      <c r="A1307" s="149" t="s">
        <v>2962</v>
      </c>
      <c r="B1307" s="144" t="s">
        <v>1363</v>
      </c>
      <c r="C1307" s="44">
        <v>15567</v>
      </c>
      <c r="D1307" s="153">
        <f t="shared" si="20"/>
        <v>0.97293750000000001</v>
      </c>
      <c r="E1307" s="43">
        <v>28100.11045869426</v>
      </c>
      <c r="F1307" s="140">
        <v>2.8815422032219544</v>
      </c>
    </row>
    <row r="1308" spans="1:6">
      <c r="A1308" s="149" t="s">
        <v>2962</v>
      </c>
      <c r="B1308" s="144" t="s">
        <v>1364</v>
      </c>
      <c r="C1308" s="44">
        <v>15566</v>
      </c>
      <c r="D1308" s="153">
        <f t="shared" si="20"/>
        <v>0.97287500000000005</v>
      </c>
      <c r="E1308" s="43">
        <v>28097.895593535635</v>
      </c>
      <c r="F1308" s="140">
        <v>2.8831155062696325</v>
      </c>
    </row>
    <row r="1309" spans="1:6">
      <c r="A1309" s="149" t="s">
        <v>2962</v>
      </c>
      <c r="B1309" s="144" t="s">
        <v>1365</v>
      </c>
      <c r="C1309" s="44">
        <v>15565</v>
      </c>
      <c r="D1309" s="153">
        <f t="shared" si="20"/>
        <v>0.97281249999999997</v>
      </c>
      <c r="E1309" s="43">
        <v>28095.680985874558</v>
      </c>
      <c r="F1309" s="140">
        <v>2.884688765837609</v>
      </c>
    </row>
    <row r="1310" spans="1:6">
      <c r="A1310" s="149" t="s">
        <v>2962</v>
      </c>
      <c r="B1310" s="144" t="s">
        <v>1366</v>
      </c>
      <c r="C1310" s="44">
        <v>15564</v>
      </c>
      <c r="D1310" s="153">
        <f t="shared" si="20"/>
        <v>0.97275</v>
      </c>
      <c r="E1310" s="43">
        <v>28093.466635666126</v>
      </c>
      <c r="F1310" s="140">
        <v>2.8862619819324209</v>
      </c>
    </row>
    <row r="1311" spans="1:6">
      <c r="A1311" s="149" t="s">
        <v>2962</v>
      </c>
      <c r="B1311" s="144" t="s">
        <v>1367</v>
      </c>
      <c r="C1311" s="44">
        <v>15562</v>
      </c>
      <c r="D1311" s="153">
        <f t="shared" si="20"/>
        <v>0.97262500000000007</v>
      </c>
      <c r="E1311" s="43">
        <v>28089.03870742764</v>
      </c>
      <c r="F1311" s="140">
        <v>2.8894082837297219</v>
      </c>
    </row>
    <row r="1312" spans="1:6">
      <c r="A1312" s="149" t="s">
        <v>2962</v>
      </c>
      <c r="B1312" s="144" t="s">
        <v>1368</v>
      </c>
      <c r="C1312" s="44">
        <v>15561</v>
      </c>
      <c r="D1312" s="153">
        <f t="shared" si="20"/>
        <v>0.9725625</v>
      </c>
      <c r="E1312" s="43">
        <v>28086.825129307839</v>
      </c>
      <c r="F1312" s="140">
        <v>2.8909813694455124</v>
      </c>
    </row>
    <row r="1313" spans="1:6">
      <c r="A1313" s="149" t="s">
        <v>2962</v>
      </c>
      <c r="B1313" s="144" t="s">
        <v>1369</v>
      </c>
      <c r="C1313" s="44">
        <v>15560</v>
      </c>
      <c r="D1313" s="153">
        <f t="shared" si="20"/>
        <v>0.97250000000000003</v>
      </c>
      <c r="E1313" s="43">
        <v>28084.611808461181</v>
      </c>
      <c r="F1313" s="140">
        <v>2.8925544117151389</v>
      </c>
    </row>
    <row r="1314" spans="1:6">
      <c r="A1314" s="149" t="s">
        <v>2962</v>
      </c>
      <c r="B1314" s="144" t="s">
        <v>1370</v>
      </c>
      <c r="C1314" s="44">
        <v>15560</v>
      </c>
      <c r="D1314" s="153">
        <f t="shared" si="20"/>
        <v>0.97250000000000003</v>
      </c>
      <c r="E1314" s="43">
        <v>28084.611808461181</v>
      </c>
      <c r="F1314" s="140">
        <v>2.8925544117151389</v>
      </c>
    </row>
    <row r="1315" spans="1:6">
      <c r="A1315" s="149" t="s">
        <v>2962</v>
      </c>
      <c r="B1315" s="144" t="s">
        <v>1371</v>
      </c>
      <c r="C1315" s="44">
        <v>15559</v>
      </c>
      <c r="D1315" s="153">
        <f t="shared" si="20"/>
        <v>0.97243750000000007</v>
      </c>
      <c r="E1315" s="43">
        <v>28082.398744842816</v>
      </c>
      <c r="F1315" s="140">
        <v>2.8941274105450248</v>
      </c>
    </row>
    <row r="1316" spans="1:6">
      <c r="A1316" s="149" t="s">
        <v>2962</v>
      </c>
      <c r="B1316" s="144" t="s">
        <v>1372</v>
      </c>
      <c r="C1316" s="44">
        <v>15558</v>
      </c>
      <c r="D1316" s="153">
        <f t="shared" si="20"/>
        <v>0.97237499999999999</v>
      </c>
      <c r="E1316" s="43">
        <v>28080.185938407903</v>
      </c>
      <c r="F1316" s="140">
        <v>2.8957003659421616</v>
      </c>
    </row>
    <row r="1317" spans="1:6">
      <c r="A1317" s="149" t="s">
        <v>2962</v>
      </c>
      <c r="B1317" s="144" t="s">
        <v>1373</v>
      </c>
      <c r="C1317" s="44">
        <v>15557</v>
      </c>
      <c r="D1317" s="153">
        <f t="shared" si="20"/>
        <v>0.97231250000000002</v>
      </c>
      <c r="E1317" s="43">
        <v>28077.973389111616</v>
      </c>
      <c r="F1317" s="140">
        <v>2.8972732779130865</v>
      </c>
    </row>
    <row r="1318" spans="1:6">
      <c r="A1318" s="149" t="s">
        <v>2962</v>
      </c>
      <c r="B1318" s="144" t="s">
        <v>1374</v>
      </c>
      <c r="C1318" s="44">
        <v>15556</v>
      </c>
      <c r="D1318" s="153">
        <f t="shared" si="20"/>
        <v>0.97225000000000006</v>
      </c>
      <c r="E1318" s="43">
        <v>28075.761096909133</v>
      </c>
      <c r="F1318" s="140">
        <v>2.898846146464507</v>
      </c>
    </row>
    <row r="1319" spans="1:6">
      <c r="A1319" s="149" t="s">
        <v>2962</v>
      </c>
      <c r="B1319" s="144" t="s">
        <v>1375</v>
      </c>
      <c r="C1319" s="44">
        <v>15555</v>
      </c>
      <c r="D1319" s="153">
        <f t="shared" si="20"/>
        <v>0.97218749999999998</v>
      </c>
      <c r="E1319" s="43">
        <v>28073.54906175565</v>
      </c>
      <c r="F1319" s="140">
        <v>2.9004189716030169</v>
      </c>
    </row>
    <row r="1320" spans="1:6">
      <c r="A1320" s="149" t="s">
        <v>2962</v>
      </c>
      <c r="B1320" s="144" t="s">
        <v>1376</v>
      </c>
      <c r="C1320" s="44">
        <v>15554</v>
      </c>
      <c r="D1320" s="153">
        <f t="shared" si="20"/>
        <v>0.97212500000000002</v>
      </c>
      <c r="E1320" s="43">
        <v>28071.337283606368</v>
      </c>
      <c r="F1320" s="140">
        <v>2.9019917533354942</v>
      </c>
    </row>
    <row r="1321" spans="1:6">
      <c r="A1321" s="149" t="s">
        <v>2962</v>
      </c>
      <c r="B1321" s="144" t="s">
        <v>1377</v>
      </c>
      <c r="C1321" s="44">
        <v>15554</v>
      </c>
      <c r="D1321" s="153">
        <f t="shared" si="20"/>
        <v>0.97212500000000002</v>
      </c>
      <c r="E1321" s="43">
        <v>28071.337283606368</v>
      </c>
      <c r="F1321" s="140">
        <v>2.9019917533354942</v>
      </c>
    </row>
    <row r="1322" spans="1:6">
      <c r="A1322" s="149" t="s">
        <v>2962</v>
      </c>
      <c r="B1322" s="144" t="s">
        <v>1378</v>
      </c>
      <c r="C1322" s="44">
        <v>15553</v>
      </c>
      <c r="D1322" s="153">
        <f t="shared" si="20"/>
        <v>0.97206250000000005</v>
      </c>
      <c r="E1322" s="43">
        <v>28069.125762416497</v>
      </c>
      <c r="F1322" s="140">
        <v>2.9035644916685897</v>
      </c>
    </row>
    <row r="1323" spans="1:6">
      <c r="A1323" s="149" t="s">
        <v>2962</v>
      </c>
      <c r="B1323" s="144" t="s">
        <v>1379</v>
      </c>
      <c r="C1323" s="44">
        <v>15552</v>
      </c>
      <c r="D1323" s="153">
        <f t="shared" si="20"/>
        <v>0.97199999999999998</v>
      </c>
      <c r="E1323" s="43">
        <v>28066.914498141265</v>
      </c>
      <c r="F1323" s="140">
        <v>2.9051371866088971</v>
      </c>
    </row>
    <row r="1324" spans="1:6">
      <c r="A1324" s="149" t="s">
        <v>2962</v>
      </c>
      <c r="B1324" s="144" t="s">
        <v>1380</v>
      </c>
      <c r="C1324" s="44">
        <v>15551</v>
      </c>
      <c r="D1324" s="153">
        <f t="shared" si="20"/>
        <v>0.97193750000000001</v>
      </c>
      <c r="E1324" s="43">
        <v>28064.703490735901</v>
      </c>
      <c r="F1324" s="140">
        <v>2.9067098381632945</v>
      </c>
    </row>
    <row r="1325" spans="1:6">
      <c r="A1325" s="149" t="s">
        <v>2962</v>
      </c>
      <c r="B1325" s="144" t="s">
        <v>1381</v>
      </c>
      <c r="C1325" s="44">
        <v>15551</v>
      </c>
      <c r="D1325" s="153">
        <f t="shared" si="20"/>
        <v>0.97193750000000001</v>
      </c>
      <c r="E1325" s="43">
        <v>28064.703490735901</v>
      </c>
      <c r="F1325" s="140">
        <v>2.9067098381632945</v>
      </c>
    </row>
    <row r="1326" spans="1:6">
      <c r="A1326" s="149" t="s">
        <v>2962</v>
      </c>
      <c r="B1326" s="144" t="s">
        <v>1382</v>
      </c>
      <c r="C1326" s="44">
        <v>15550</v>
      </c>
      <c r="D1326" s="153">
        <f t="shared" si="20"/>
        <v>0.97187500000000004</v>
      </c>
      <c r="E1326" s="43">
        <v>28062.492740155652</v>
      </c>
      <c r="F1326" s="140">
        <v>2.9082824463382053</v>
      </c>
    </row>
    <row r="1327" spans="1:6">
      <c r="A1327" s="149" t="s">
        <v>2962</v>
      </c>
      <c r="B1327" s="144" t="s">
        <v>1383</v>
      </c>
      <c r="C1327" s="44">
        <v>15549</v>
      </c>
      <c r="D1327" s="153">
        <f t="shared" si="20"/>
        <v>0.97181249999999997</v>
      </c>
      <c r="E1327" s="43">
        <v>28060.282246355771</v>
      </c>
      <c r="F1327" s="140">
        <v>2.9098550111405075</v>
      </c>
    </row>
    <row r="1328" spans="1:6">
      <c r="A1328" s="149" t="s">
        <v>2962</v>
      </c>
      <c r="B1328" s="144" t="s">
        <v>1384</v>
      </c>
      <c r="C1328" s="44">
        <v>15549</v>
      </c>
      <c r="D1328" s="153">
        <f t="shared" si="20"/>
        <v>0.97181249999999997</v>
      </c>
      <c r="E1328" s="43">
        <v>28060.282246355771</v>
      </c>
      <c r="F1328" s="140">
        <v>2.9098550111405075</v>
      </c>
    </row>
    <row r="1329" spans="1:6">
      <c r="A1329" s="149" t="s">
        <v>2962</v>
      </c>
      <c r="B1329" s="144" t="s">
        <v>1385</v>
      </c>
      <c r="C1329" s="44">
        <v>15548</v>
      </c>
      <c r="D1329" s="153">
        <f t="shared" si="20"/>
        <v>0.97175</v>
      </c>
      <c r="E1329" s="43">
        <v>28058.072009291522</v>
      </c>
      <c r="F1329" s="140">
        <v>2.9114275325769086</v>
      </c>
    </row>
    <row r="1330" spans="1:6">
      <c r="A1330" s="149" t="s">
        <v>2962</v>
      </c>
      <c r="B1330" s="144" t="s">
        <v>1386</v>
      </c>
      <c r="C1330" s="44">
        <v>15547</v>
      </c>
      <c r="D1330" s="153">
        <f t="shared" si="20"/>
        <v>0.97168750000000004</v>
      </c>
      <c r="E1330" s="43">
        <v>28055.862028918182</v>
      </c>
      <c r="F1330" s="140">
        <v>2.9130000106538887</v>
      </c>
    </row>
    <row r="1331" spans="1:6">
      <c r="A1331" s="149" t="s">
        <v>2962</v>
      </c>
      <c r="B1331" s="144" t="s">
        <v>1387</v>
      </c>
      <c r="C1331" s="44">
        <v>15547</v>
      </c>
      <c r="D1331" s="153">
        <f t="shared" si="20"/>
        <v>0.97168750000000004</v>
      </c>
      <c r="E1331" s="43">
        <v>28055.862028918182</v>
      </c>
      <c r="F1331" s="140">
        <v>2.9130000106538887</v>
      </c>
    </row>
    <row r="1332" spans="1:6">
      <c r="A1332" s="149" t="s">
        <v>2962</v>
      </c>
      <c r="B1332" s="144" t="s">
        <v>1388</v>
      </c>
      <c r="C1332" s="44">
        <v>15546</v>
      </c>
      <c r="D1332" s="153">
        <f t="shared" si="20"/>
        <v>0.97162500000000007</v>
      </c>
      <c r="E1332" s="43">
        <v>28053.652305191034</v>
      </c>
      <c r="F1332" s="140">
        <v>2.9145724453782691</v>
      </c>
    </row>
    <row r="1333" spans="1:6">
      <c r="A1333" s="149" t="s">
        <v>2962</v>
      </c>
      <c r="B1333" s="144" t="s">
        <v>1389</v>
      </c>
      <c r="C1333" s="44">
        <v>15546</v>
      </c>
      <c r="D1333" s="153">
        <f t="shared" si="20"/>
        <v>0.97162500000000007</v>
      </c>
      <c r="E1333" s="43">
        <v>28053.652305191034</v>
      </c>
      <c r="F1333" s="140">
        <v>2.9145724453782691</v>
      </c>
    </row>
    <row r="1334" spans="1:6">
      <c r="A1334" s="149" t="s">
        <v>2962</v>
      </c>
      <c r="B1334" s="144" t="s">
        <v>1390</v>
      </c>
      <c r="C1334" s="44">
        <v>15545</v>
      </c>
      <c r="D1334" s="153">
        <f t="shared" si="20"/>
        <v>0.9715625</v>
      </c>
      <c r="E1334" s="43">
        <v>28051.442838065377</v>
      </c>
      <c r="F1334" s="140">
        <v>2.916144836756871</v>
      </c>
    </row>
    <row r="1335" spans="1:6">
      <c r="A1335" s="149" t="s">
        <v>2962</v>
      </c>
      <c r="B1335" s="144" t="s">
        <v>1391</v>
      </c>
      <c r="C1335" s="44">
        <v>15544</v>
      </c>
      <c r="D1335" s="153">
        <f t="shared" si="20"/>
        <v>0.97150000000000003</v>
      </c>
      <c r="E1335" s="43">
        <v>28049.233627496516</v>
      </c>
      <c r="F1335" s="140">
        <v>2.9177171847961176</v>
      </c>
    </row>
    <row r="1336" spans="1:6">
      <c r="A1336" s="149" t="s">
        <v>2962</v>
      </c>
      <c r="B1336" s="144" t="s">
        <v>1392</v>
      </c>
      <c r="C1336" s="44">
        <v>15544</v>
      </c>
      <c r="D1336" s="153">
        <f t="shared" si="20"/>
        <v>0.97150000000000003</v>
      </c>
      <c r="E1336" s="43">
        <v>28049.233627496516</v>
      </c>
      <c r="F1336" s="140">
        <v>2.9177171847961176</v>
      </c>
    </row>
    <row r="1337" spans="1:6">
      <c r="A1337" s="149" t="s">
        <v>2962</v>
      </c>
      <c r="B1337" s="144" t="s">
        <v>1393</v>
      </c>
      <c r="C1337" s="44">
        <v>15543</v>
      </c>
      <c r="D1337" s="153">
        <f t="shared" si="20"/>
        <v>0.97143750000000006</v>
      </c>
      <c r="E1337" s="43">
        <v>28047.024673439766</v>
      </c>
      <c r="F1337" s="140">
        <v>2.9192894895028303</v>
      </c>
    </row>
    <row r="1338" spans="1:6">
      <c r="A1338" s="149" t="s">
        <v>2962</v>
      </c>
      <c r="B1338" s="144" t="s">
        <v>1394</v>
      </c>
      <c r="C1338" s="44">
        <v>15543</v>
      </c>
      <c r="D1338" s="153">
        <f t="shared" si="20"/>
        <v>0.97143750000000006</v>
      </c>
      <c r="E1338" s="43">
        <v>28047.024673439766</v>
      </c>
      <c r="F1338" s="140">
        <v>2.9192894895028303</v>
      </c>
    </row>
    <row r="1339" spans="1:6">
      <c r="A1339" s="149" t="s">
        <v>2962</v>
      </c>
      <c r="B1339" s="144" t="s">
        <v>1395</v>
      </c>
      <c r="C1339" s="44">
        <v>15542</v>
      </c>
      <c r="D1339" s="153">
        <f t="shared" si="20"/>
        <v>0.97137499999999999</v>
      </c>
      <c r="E1339" s="43">
        <v>28044.815975850459</v>
      </c>
      <c r="F1339" s="140">
        <v>2.9208617508837165</v>
      </c>
    </row>
    <row r="1340" spans="1:6">
      <c r="A1340" s="149" t="s">
        <v>2962</v>
      </c>
      <c r="B1340" s="144" t="s">
        <v>1396</v>
      </c>
      <c r="C1340" s="44">
        <v>15542</v>
      </c>
      <c r="D1340" s="153">
        <f t="shared" si="20"/>
        <v>0.97137499999999999</v>
      </c>
      <c r="E1340" s="43">
        <v>28044.815975850459</v>
      </c>
      <c r="F1340" s="140">
        <v>2.9208617508837165</v>
      </c>
    </row>
    <row r="1341" spans="1:6">
      <c r="A1341" s="149" t="s">
        <v>2962</v>
      </c>
      <c r="B1341" s="144" t="s">
        <v>1397</v>
      </c>
      <c r="C1341" s="44">
        <v>15541</v>
      </c>
      <c r="D1341" s="153">
        <f t="shared" si="20"/>
        <v>0.97131250000000002</v>
      </c>
      <c r="E1341" s="43">
        <v>28042.607534683928</v>
      </c>
      <c r="F1341" s="140">
        <v>2.9224339689453132</v>
      </c>
    </row>
    <row r="1342" spans="1:6">
      <c r="A1342" s="149" t="s">
        <v>2962</v>
      </c>
      <c r="B1342" s="144" t="s">
        <v>1398</v>
      </c>
      <c r="C1342" s="44">
        <v>15541</v>
      </c>
      <c r="D1342" s="153">
        <f t="shared" si="20"/>
        <v>0.97131250000000002</v>
      </c>
      <c r="E1342" s="43">
        <v>28042.607534683928</v>
      </c>
      <c r="F1342" s="140">
        <v>2.9224339689453132</v>
      </c>
    </row>
    <row r="1343" spans="1:6">
      <c r="A1343" s="149" t="s">
        <v>2962</v>
      </c>
      <c r="B1343" s="144" t="s">
        <v>1399</v>
      </c>
      <c r="C1343" s="44">
        <v>15541</v>
      </c>
      <c r="D1343" s="153">
        <f t="shared" si="20"/>
        <v>0.97131250000000002</v>
      </c>
      <c r="E1343" s="43">
        <v>28042.607534683928</v>
      </c>
      <c r="F1343" s="140">
        <v>2.9224339689453132</v>
      </c>
    </row>
    <row r="1344" spans="1:6">
      <c r="A1344" s="149" t="s">
        <v>2962</v>
      </c>
      <c r="B1344" s="144" t="s">
        <v>1400</v>
      </c>
      <c r="C1344" s="44">
        <v>15540</v>
      </c>
      <c r="D1344" s="153">
        <f t="shared" si="20"/>
        <v>0.97125000000000006</v>
      </c>
      <c r="E1344" s="43">
        <v>28040.399349895521</v>
      </c>
      <c r="F1344" s="140">
        <v>2.9240061436944984</v>
      </c>
    </row>
    <row r="1345" spans="1:6">
      <c r="A1345" s="149" t="s">
        <v>2962</v>
      </c>
      <c r="B1345" s="144" t="s">
        <v>1401</v>
      </c>
      <c r="C1345" s="44">
        <v>15540</v>
      </c>
      <c r="D1345" s="153">
        <f t="shared" si="20"/>
        <v>0.97125000000000006</v>
      </c>
      <c r="E1345" s="43">
        <v>28040.399349895521</v>
      </c>
      <c r="F1345" s="140">
        <v>2.9240061436944984</v>
      </c>
    </row>
    <row r="1346" spans="1:6">
      <c r="A1346" s="149" t="s">
        <v>2962</v>
      </c>
      <c r="B1346" s="144" t="s">
        <v>1402</v>
      </c>
      <c r="C1346" s="44">
        <v>15539</v>
      </c>
      <c r="D1346" s="153">
        <f t="shared" si="20"/>
        <v>0.97118749999999998</v>
      </c>
      <c r="E1346" s="43">
        <v>28038.191421440595</v>
      </c>
      <c r="F1346" s="140">
        <v>2.9255782751377524</v>
      </c>
    </row>
    <row r="1347" spans="1:6">
      <c r="A1347" s="149" t="s">
        <v>2962</v>
      </c>
      <c r="B1347" s="144" t="s">
        <v>1403</v>
      </c>
      <c r="C1347" s="44">
        <v>15539</v>
      </c>
      <c r="D1347" s="153">
        <f t="shared" si="20"/>
        <v>0.97118749999999998</v>
      </c>
      <c r="E1347" s="43">
        <v>28038.191421440595</v>
      </c>
      <c r="F1347" s="140">
        <v>2.9255782751377524</v>
      </c>
    </row>
    <row r="1348" spans="1:6">
      <c r="A1348" s="149" t="s">
        <v>2962</v>
      </c>
      <c r="B1348" s="144" t="s">
        <v>1404</v>
      </c>
      <c r="C1348" s="44">
        <v>15538</v>
      </c>
      <c r="D1348" s="153">
        <f t="shared" si="20"/>
        <v>0.97112500000000002</v>
      </c>
      <c r="E1348" s="43">
        <v>28035.983749274521</v>
      </c>
      <c r="F1348" s="140">
        <v>2.9271503632818963</v>
      </c>
    </row>
    <row r="1349" spans="1:6">
      <c r="A1349" s="149" t="s">
        <v>2962</v>
      </c>
      <c r="B1349" s="144" t="s">
        <v>1405</v>
      </c>
      <c r="C1349" s="44">
        <v>15538</v>
      </c>
      <c r="D1349" s="153">
        <f t="shared" si="20"/>
        <v>0.97112500000000002</v>
      </c>
      <c r="E1349" s="43">
        <v>28035.983749274521</v>
      </c>
      <c r="F1349" s="140">
        <v>2.9271503632818963</v>
      </c>
    </row>
    <row r="1350" spans="1:6">
      <c r="A1350" s="149" t="s">
        <v>2962</v>
      </c>
      <c r="B1350" s="144" t="s">
        <v>1406</v>
      </c>
      <c r="C1350" s="44">
        <v>15538</v>
      </c>
      <c r="D1350" s="153">
        <f t="shared" si="20"/>
        <v>0.97112500000000002</v>
      </c>
      <c r="E1350" s="43">
        <v>28035.983749274521</v>
      </c>
      <c r="F1350" s="140">
        <v>2.9271503632818963</v>
      </c>
    </row>
    <row r="1351" spans="1:6">
      <c r="A1351" s="149" t="s">
        <v>2962</v>
      </c>
      <c r="B1351" s="144" t="s">
        <v>1407</v>
      </c>
      <c r="C1351" s="44">
        <v>15537</v>
      </c>
      <c r="D1351" s="153">
        <f t="shared" ref="D1351:D1414" si="21">C1351/32768*4.096/2</f>
        <v>0.97106250000000005</v>
      </c>
      <c r="E1351" s="43">
        <v>28033.776333352678</v>
      </c>
      <c r="F1351" s="140">
        <v>2.9287224081334671</v>
      </c>
    </row>
    <row r="1352" spans="1:6">
      <c r="A1352" s="149" t="s">
        <v>2962</v>
      </c>
      <c r="B1352" s="144" t="s">
        <v>1408</v>
      </c>
      <c r="C1352" s="44">
        <v>15537</v>
      </c>
      <c r="D1352" s="153">
        <f t="shared" si="21"/>
        <v>0.97106250000000005</v>
      </c>
      <c r="E1352" s="43">
        <v>28033.776333352678</v>
      </c>
      <c r="F1352" s="140">
        <v>2.9287224081334671</v>
      </c>
    </row>
    <row r="1353" spans="1:6">
      <c r="A1353" s="149" t="s">
        <v>2962</v>
      </c>
      <c r="B1353" s="144" t="s">
        <v>1409</v>
      </c>
      <c r="C1353" s="44">
        <v>15537</v>
      </c>
      <c r="D1353" s="153">
        <f t="shared" si="21"/>
        <v>0.97106250000000005</v>
      </c>
      <c r="E1353" s="43">
        <v>28033.776333352678</v>
      </c>
      <c r="F1353" s="140">
        <v>2.9287224081334671</v>
      </c>
    </row>
    <row r="1354" spans="1:6">
      <c r="A1354" s="149" t="s">
        <v>2962</v>
      </c>
      <c r="B1354" s="144" t="s">
        <v>1410</v>
      </c>
      <c r="C1354" s="44">
        <v>15536</v>
      </c>
      <c r="D1354" s="153">
        <f t="shared" si="21"/>
        <v>0.97099999999999997</v>
      </c>
      <c r="E1354" s="43">
        <v>28031.569173630454</v>
      </c>
      <c r="F1354" s="140">
        <v>2.9302944096993429</v>
      </c>
    </row>
    <row r="1355" spans="1:6">
      <c r="A1355" s="149" t="s">
        <v>2962</v>
      </c>
      <c r="B1355" s="144" t="s">
        <v>1411</v>
      </c>
      <c r="C1355" s="44">
        <v>15536</v>
      </c>
      <c r="D1355" s="153">
        <f t="shared" si="21"/>
        <v>0.97099999999999997</v>
      </c>
      <c r="E1355" s="43">
        <v>28031.569173630454</v>
      </c>
      <c r="F1355" s="140">
        <v>2.9302944096993429</v>
      </c>
    </row>
    <row r="1356" spans="1:6">
      <c r="A1356" s="149" t="s">
        <v>2962</v>
      </c>
      <c r="B1356" s="144" t="s">
        <v>1412</v>
      </c>
      <c r="C1356" s="44">
        <v>15536</v>
      </c>
      <c r="D1356" s="153">
        <f t="shared" si="21"/>
        <v>0.97099999999999997</v>
      </c>
      <c r="E1356" s="43">
        <v>28031.569173630454</v>
      </c>
      <c r="F1356" s="140">
        <v>2.9302944096993429</v>
      </c>
    </row>
    <row r="1357" spans="1:6">
      <c r="A1357" s="149" t="s">
        <v>2962</v>
      </c>
      <c r="B1357" s="144" t="s">
        <v>1413</v>
      </c>
      <c r="C1357" s="44">
        <v>15535</v>
      </c>
      <c r="D1357" s="153">
        <f t="shared" si="21"/>
        <v>0.97093750000000001</v>
      </c>
      <c r="E1357" s="43">
        <v>28029.362270063251</v>
      </c>
      <c r="F1357" s="140">
        <v>2.9318663679859469</v>
      </c>
    </row>
    <row r="1358" spans="1:6">
      <c r="A1358" s="149" t="s">
        <v>2962</v>
      </c>
      <c r="B1358" s="144" t="s">
        <v>1414</v>
      </c>
      <c r="C1358" s="44">
        <v>15535</v>
      </c>
      <c r="D1358" s="153">
        <f t="shared" si="21"/>
        <v>0.97093750000000001</v>
      </c>
      <c r="E1358" s="43">
        <v>28029.362270063251</v>
      </c>
      <c r="F1358" s="140">
        <v>2.9318663679859469</v>
      </c>
    </row>
    <row r="1359" spans="1:6">
      <c r="A1359" s="149" t="s">
        <v>2962</v>
      </c>
      <c r="B1359" s="144" t="s">
        <v>1415</v>
      </c>
      <c r="C1359" s="44">
        <v>15535</v>
      </c>
      <c r="D1359" s="153">
        <f t="shared" si="21"/>
        <v>0.97093750000000001</v>
      </c>
      <c r="E1359" s="43">
        <v>28029.362270063251</v>
      </c>
      <c r="F1359" s="140">
        <v>2.9318663679859469</v>
      </c>
    </row>
    <row r="1360" spans="1:6">
      <c r="A1360" s="149" t="s">
        <v>2962</v>
      </c>
      <c r="B1360" s="144" t="s">
        <v>1416</v>
      </c>
      <c r="C1360" s="44">
        <v>15534</v>
      </c>
      <c r="D1360" s="153">
        <f t="shared" si="21"/>
        <v>0.97087500000000004</v>
      </c>
      <c r="E1360" s="43">
        <v>28027.155622606475</v>
      </c>
      <c r="F1360" s="140">
        <v>2.9334382830001573</v>
      </c>
    </row>
    <row r="1361" spans="1:6">
      <c r="A1361" s="149" t="s">
        <v>2962</v>
      </c>
      <c r="B1361" s="144" t="s">
        <v>1417</v>
      </c>
      <c r="C1361" s="44">
        <v>15534</v>
      </c>
      <c r="D1361" s="153">
        <f t="shared" si="21"/>
        <v>0.97087500000000004</v>
      </c>
      <c r="E1361" s="43">
        <v>28027.155622606475</v>
      </c>
      <c r="F1361" s="140">
        <v>2.9334382830001573</v>
      </c>
    </row>
    <row r="1362" spans="1:6">
      <c r="A1362" s="149" t="s">
        <v>2962</v>
      </c>
      <c r="B1362" s="144" t="s">
        <v>1418</v>
      </c>
      <c r="C1362" s="44">
        <v>15534</v>
      </c>
      <c r="D1362" s="153">
        <f t="shared" si="21"/>
        <v>0.97087500000000004</v>
      </c>
      <c r="E1362" s="43">
        <v>28027.155622606475</v>
      </c>
      <c r="F1362" s="140">
        <v>2.9334382830001573</v>
      </c>
    </row>
    <row r="1363" spans="1:6">
      <c r="A1363" s="149" t="s">
        <v>2962</v>
      </c>
      <c r="B1363" s="144" t="s">
        <v>1419</v>
      </c>
      <c r="C1363" s="44">
        <v>15534</v>
      </c>
      <c r="D1363" s="153">
        <f t="shared" si="21"/>
        <v>0.97087500000000004</v>
      </c>
      <c r="E1363" s="43">
        <v>28027.155622606475</v>
      </c>
      <c r="F1363" s="140">
        <v>2.9334382830001573</v>
      </c>
    </row>
    <row r="1364" spans="1:6">
      <c r="A1364" s="149" t="s">
        <v>2962</v>
      </c>
      <c r="B1364" s="144" t="s">
        <v>1420</v>
      </c>
      <c r="C1364" s="44">
        <v>15533</v>
      </c>
      <c r="D1364" s="153">
        <f t="shared" si="21"/>
        <v>0.97081249999999997</v>
      </c>
      <c r="E1364" s="43">
        <v>28024.949231215549</v>
      </c>
      <c r="F1364" s="140">
        <v>2.9350101547486247</v>
      </c>
    </row>
    <row r="1365" spans="1:6">
      <c r="A1365" s="149" t="s">
        <v>2962</v>
      </c>
      <c r="B1365" s="144" t="s">
        <v>1421</v>
      </c>
      <c r="C1365" s="44">
        <v>15533</v>
      </c>
      <c r="D1365" s="153">
        <f t="shared" si="21"/>
        <v>0.97081249999999997</v>
      </c>
      <c r="E1365" s="43">
        <v>28024.949231215549</v>
      </c>
      <c r="F1365" s="140">
        <v>2.9350101547486247</v>
      </c>
    </row>
    <row r="1366" spans="1:6">
      <c r="A1366" s="149" t="s">
        <v>2962</v>
      </c>
      <c r="B1366" s="144" t="s">
        <v>1422</v>
      </c>
      <c r="C1366" s="44">
        <v>15533</v>
      </c>
      <c r="D1366" s="153">
        <f t="shared" si="21"/>
        <v>0.97081249999999997</v>
      </c>
      <c r="E1366" s="43">
        <v>28024.949231215549</v>
      </c>
      <c r="F1366" s="140">
        <v>2.9350101547486247</v>
      </c>
    </row>
    <row r="1367" spans="1:6">
      <c r="A1367" s="149" t="s">
        <v>2962</v>
      </c>
      <c r="B1367" s="144" t="s">
        <v>1423</v>
      </c>
      <c r="C1367" s="44">
        <v>15532</v>
      </c>
      <c r="D1367" s="153">
        <f t="shared" si="21"/>
        <v>0.97075</v>
      </c>
      <c r="E1367" s="43">
        <v>28022.743095845904</v>
      </c>
      <c r="F1367" s="140">
        <v>2.9365819832378861</v>
      </c>
    </row>
    <row r="1368" spans="1:6">
      <c r="A1368" s="149" t="s">
        <v>2962</v>
      </c>
      <c r="B1368" s="144" t="s">
        <v>1424</v>
      </c>
      <c r="C1368" s="44">
        <v>15532</v>
      </c>
      <c r="D1368" s="153">
        <f t="shared" si="21"/>
        <v>0.97075</v>
      </c>
      <c r="E1368" s="43">
        <v>28022.743095845904</v>
      </c>
      <c r="F1368" s="140">
        <v>2.9365819832378861</v>
      </c>
    </row>
    <row r="1369" spans="1:6">
      <c r="A1369" s="149" t="s">
        <v>2962</v>
      </c>
      <c r="B1369" s="144" t="s">
        <v>1425</v>
      </c>
      <c r="C1369" s="44">
        <v>15532</v>
      </c>
      <c r="D1369" s="153">
        <f t="shared" si="21"/>
        <v>0.97075</v>
      </c>
      <c r="E1369" s="43">
        <v>28022.743095845904</v>
      </c>
      <c r="F1369" s="140">
        <v>2.9365819832378861</v>
      </c>
    </row>
    <row r="1370" spans="1:6">
      <c r="A1370" s="149" t="s">
        <v>2962</v>
      </c>
      <c r="B1370" s="145" t="s">
        <v>1426</v>
      </c>
      <c r="C1370" s="142">
        <v>15532</v>
      </c>
      <c r="D1370" s="153">
        <f t="shared" si="21"/>
        <v>0.97075</v>
      </c>
      <c r="E1370" s="143">
        <v>28022.743095845904</v>
      </c>
      <c r="F1370" s="141">
        <v>2.9365819832378861</v>
      </c>
    </row>
    <row r="1371" spans="1:6">
      <c r="A1371" s="149" t="s">
        <v>2962</v>
      </c>
      <c r="B1371" s="144" t="s">
        <v>1427</v>
      </c>
      <c r="C1371" s="44">
        <v>15532</v>
      </c>
      <c r="D1371" s="153">
        <f t="shared" si="21"/>
        <v>0.97075</v>
      </c>
      <c r="E1371" s="43">
        <v>28022.743095845904</v>
      </c>
      <c r="F1371" s="140">
        <v>2.9365819832378861</v>
      </c>
    </row>
    <row r="1372" spans="1:6">
      <c r="A1372" s="149" t="s">
        <v>2962</v>
      </c>
      <c r="B1372" s="144" t="s">
        <v>1428</v>
      </c>
      <c r="C1372" s="44">
        <v>15531</v>
      </c>
      <c r="D1372" s="153">
        <f t="shared" si="21"/>
        <v>0.97068750000000004</v>
      </c>
      <c r="E1372" s="43">
        <v>28020.53721645298</v>
      </c>
      <c r="F1372" s="140">
        <v>2.938153768474649</v>
      </c>
    </row>
    <row r="1373" spans="1:6">
      <c r="A1373" s="149" t="s">
        <v>2962</v>
      </c>
      <c r="B1373" s="144" t="s">
        <v>1429</v>
      </c>
      <c r="C1373" s="44">
        <v>15531</v>
      </c>
      <c r="D1373" s="153">
        <f t="shared" si="21"/>
        <v>0.97068750000000004</v>
      </c>
      <c r="E1373" s="43">
        <v>28020.53721645298</v>
      </c>
      <c r="F1373" s="140">
        <v>2.938153768474649</v>
      </c>
    </row>
    <row r="1374" spans="1:6">
      <c r="A1374" s="149" t="s">
        <v>2962</v>
      </c>
      <c r="B1374" s="144" t="s">
        <v>1430</v>
      </c>
      <c r="C1374" s="44">
        <v>15531</v>
      </c>
      <c r="D1374" s="153">
        <f t="shared" si="21"/>
        <v>0.97068750000000004</v>
      </c>
      <c r="E1374" s="43">
        <v>28020.53721645298</v>
      </c>
      <c r="F1374" s="140">
        <v>2.938153768474649</v>
      </c>
    </row>
    <row r="1375" spans="1:6">
      <c r="A1375" s="149" t="s">
        <v>2962</v>
      </c>
      <c r="B1375" s="144" t="s">
        <v>1431</v>
      </c>
      <c r="C1375" s="44">
        <v>15531</v>
      </c>
      <c r="D1375" s="153">
        <f t="shared" si="21"/>
        <v>0.97068750000000004</v>
      </c>
      <c r="E1375" s="43">
        <v>28020.53721645298</v>
      </c>
      <c r="F1375" s="140">
        <v>2.938153768474649</v>
      </c>
    </row>
    <row r="1376" spans="1:6">
      <c r="A1376" s="149" t="s">
        <v>2962</v>
      </c>
      <c r="B1376" s="144" t="s">
        <v>1432</v>
      </c>
      <c r="C1376" s="44">
        <v>15531</v>
      </c>
      <c r="D1376" s="153">
        <f t="shared" si="21"/>
        <v>0.97068750000000004</v>
      </c>
      <c r="E1376" s="43">
        <v>28020.53721645298</v>
      </c>
      <c r="F1376" s="140">
        <v>2.938153768474649</v>
      </c>
    </row>
    <row r="1377" spans="1:6">
      <c r="A1377" s="149" t="s">
        <v>2962</v>
      </c>
      <c r="B1377" s="144" t="s">
        <v>1433</v>
      </c>
      <c r="C1377" s="44">
        <v>15530</v>
      </c>
      <c r="D1377" s="153">
        <f t="shared" si="21"/>
        <v>0.97062500000000007</v>
      </c>
      <c r="E1377" s="43">
        <v>28018.331592992228</v>
      </c>
      <c r="F1377" s="140">
        <v>2.9397255104657916</v>
      </c>
    </row>
    <row r="1378" spans="1:6">
      <c r="A1378" s="149" t="s">
        <v>2962</v>
      </c>
      <c r="B1378" s="144" t="s">
        <v>1434</v>
      </c>
      <c r="C1378" s="44">
        <v>15530</v>
      </c>
      <c r="D1378" s="153">
        <f t="shared" si="21"/>
        <v>0.97062500000000007</v>
      </c>
      <c r="E1378" s="43">
        <v>28018.331592992228</v>
      </c>
      <c r="F1378" s="140">
        <v>2.9397255104657916</v>
      </c>
    </row>
    <row r="1379" spans="1:6">
      <c r="A1379" s="149" t="s">
        <v>2962</v>
      </c>
      <c r="B1379" s="144" t="s">
        <v>1435</v>
      </c>
      <c r="C1379" s="44">
        <v>15530</v>
      </c>
      <c r="D1379" s="153">
        <f t="shared" si="21"/>
        <v>0.97062500000000007</v>
      </c>
      <c r="E1379" s="43">
        <v>28018.331592992228</v>
      </c>
      <c r="F1379" s="140">
        <v>2.9397255104657916</v>
      </c>
    </row>
    <row r="1380" spans="1:6">
      <c r="A1380" s="149" t="s">
        <v>2962</v>
      </c>
      <c r="B1380" s="144" t="s">
        <v>1436</v>
      </c>
      <c r="C1380" s="44">
        <v>15530</v>
      </c>
      <c r="D1380" s="153">
        <f t="shared" si="21"/>
        <v>0.97062500000000007</v>
      </c>
      <c r="E1380" s="43">
        <v>28018.331592992228</v>
      </c>
      <c r="F1380" s="140">
        <v>2.9397255104657916</v>
      </c>
    </row>
    <row r="1381" spans="1:6">
      <c r="A1381" s="149" t="s">
        <v>2962</v>
      </c>
      <c r="B1381" s="144" t="s">
        <v>1437</v>
      </c>
      <c r="C1381" s="44">
        <v>15529</v>
      </c>
      <c r="D1381" s="153">
        <f t="shared" si="21"/>
        <v>0.97056249999999999</v>
      </c>
      <c r="E1381" s="43">
        <v>28016.126225419106</v>
      </c>
      <c r="F1381" s="140">
        <v>2.9412972092176233</v>
      </c>
    </row>
    <row r="1382" spans="1:6">
      <c r="A1382" s="149" t="s">
        <v>2962</v>
      </c>
      <c r="B1382" s="144" t="s">
        <v>1438</v>
      </c>
      <c r="C1382" s="44">
        <v>15529</v>
      </c>
      <c r="D1382" s="153">
        <f t="shared" si="21"/>
        <v>0.97056249999999999</v>
      </c>
      <c r="E1382" s="43">
        <v>28016.126225419106</v>
      </c>
      <c r="F1382" s="140">
        <v>2.9412972092176233</v>
      </c>
    </row>
    <row r="1383" spans="1:6">
      <c r="A1383" s="149" t="s">
        <v>2962</v>
      </c>
      <c r="B1383" s="144" t="s">
        <v>1439</v>
      </c>
      <c r="C1383" s="44">
        <v>15529</v>
      </c>
      <c r="D1383" s="153">
        <f t="shared" si="21"/>
        <v>0.97056249999999999</v>
      </c>
      <c r="E1383" s="43">
        <v>28016.126225419106</v>
      </c>
      <c r="F1383" s="140">
        <v>2.9412972092176233</v>
      </c>
    </row>
    <row r="1384" spans="1:6">
      <c r="A1384" s="149" t="s">
        <v>2962</v>
      </c>
      <c r="B1384" s="144" t="s">
        <v>1440</v>
      </c>
      <c r="C1384" s="44">
        <v>15529</v>
      </c>
      <c r="D1384" s="153">
        <f t="shared" si="21"/>
        <v>0.97056249999999999</v>
      </c>
      <c r="E1384" s="43">
        <v>28016.126225419106</v>
      </c>
      <c r="F1384" s="140">
        <v>2.9412972092176233</v>
      </c>
    </row>
    <row r="1385" spans="1:6">
      <c r="A1385" s="149" t="s">
        <v>2962</v>
      </c>
      <c r="B1385" s="144" t="s">
        <v>1441</v>
      </c>
      <c r="C1385" s="44">
        <v>15529</v>
      </c>
      <c r="D1385" s="153">
        <f t="shared" si="21"/>
        <v>0.97056249999999999</v>
      </c>
      <c r="E1385" s="43">
        <v>28016.126225419106</v>
      </c>
      <c r="F1385" s="140">
        <v>2.9412972092176233</v>
      </c>
    </row>
    <row r="1386" spans="1:6">
      <c r="A1386" s="149" t="s">
        <v>2962</v>
      </c>
      <c r="B1386" s="144" t="s">
        <v>1442</v>
      </c>
      <c r="C1386" s="44">
        <v>15529</v>
      </c>
      <c r="D1386" s="153">
        <f t="shared" si="21"/>
        <v>0.97056249999999999</v>
      </c>
      <c r="E1386" s="43">
        <v>28016.126225419106</v>
      </c>
      <c r="F1386" s="140">
        <v>2.9412972092176233</v>
      </c>
    </row>
    <row r="1387" spans="1:6">
      <c r="A1387" s="149" t="s">
        <v>2962</v>
      </c>
      <c r="B1387" s="144" t="s">
        <v>1443</v>
      </c>
      <c r="C1387" s="44">
        <v>15529</v>
      </c>
      <c r="D1387" s="153">
        <f t="shared" si="21"/>
        <v>0.97056249999999999</v>
      </c>
      <c r="E1387" s="43">
        <v>28016.126225419106</v>
      </c>
      <c r="F1387" s="140">
        <v>2.9412972092176233</v>
      </c>
    </row>
    <row r="1388" spans="1:6">
      <c r="A1388" s="149" t="s">
        <v>2962</v>
      </c>
      <c r="B1388" s="144" t="s">
        <v>1444</v>
      </c>
      <c r="C1388" s="44">
        <v>15528</v>
      </c>
      <c r="D1388" s="153">
        <f t="shared" si="21"/>
        <v>0.97050000000000003</v>
      </c>
      <c r="E1388" s="43">
        <v>28013.921113689095</v>
      </c>
      <c r="F1388" s="140">
        <v>2.9428688647370791</v>
      </c>
    </row>
    <row r="1389" spans="1:6">
      <c r="A1389" s="149" t="s">
        <v>2962</v>
      </c>
      <c r="B1389" s="144" t="s">
        <v>1445</v>
      </c>
      <c r="C1389" s="44">
        <v>15528</v>
      </c>
      <c r="D1389" s="153">
        <f t="shared" si="21"/>
        <v>0.97050000000000003</v>
      </c>
      <c r="E1389" s="43">
        <v>28013.921113689095</v>
      </c>
      <c r="F1389" s="140">
        <v>2.9428688647370791</v>
      </c>
    </row>
    <row r="1390" spans="1:6">
      <c r="A1390" s="149" t="s">
        <v>2962</v>
      </c>
      <c r="B1390" s="144" t="s">
        <v>1446</v>
      </c>
      <c r="C1390" s="44">
        <v>15528</v>
      </c>
      <c r="D1390" s="153">
        <f t="shared" si="21"/>
        <v>0.97050000000000003</v>
      </c>
      <c r="E1390" s="43">
        <v>28013.921113689095</v>
      </c>
      <c r="F1390" s="140">
        <v>2.9428688647370791</v>
      </c>
    </row>
    <row r="1391" spans="1:6">
      <c r="A1391" s="149" t="s">
        <v>2962</v>
      </c>
      <c r="B1391" s="144" t="s">
        <v>1447</v>
      </c>
      <c r="C1391" s="44">
        <v>15528</v>
      </c>
      <c r="D1391" s="153">
        <f t="shared" si="21"/>
        <v>0.97050000000000003</v>
      </c>
      <c r="E1391" s="43">
        <v>28013.921113689095</v>
      </c>
      <c r="F1391" s="140">
        <v>2.9428688647370791</v>
      </c>
    </row>
    <row r="1392" spans="1:6">
      <c r="A1392" s="149" t="s">
        <v>2962</v>
      </c>
      <c r="B1392" s="144" t="s">
        <v>1448</v>
      </c>
      <c r="C1392" s="44">
        <v>15528</v>
      </c>
      <c r="D1392" s="153">
        <f t="shared" si="21"/>
        <v>0.97050000000000003</v>
      </c>
      <c r="E1392" s="43">
        <v>28013.921113689095</v>
      </c>
      <c r="F1392" s="140">
        <v>2.9428688647370791</v>
      </c>
    </row>
    <row r="1393" spans="1:6">
      <c r="A1393" s="149" t="s">
        <v>2962</v>
      </c>
      <c r="B1393" s="144" t="s">
        <v>1449</v>
      </c>
      <c r="C1393" s="44">
        <v>15528</v>
      </c>
      <c r="D1393" s="153">
        <f t="shared" si="21"/>
        <v>0.97050000000000003</v>
      </c>
      <c r="E1393" s="43">
        <v>28013.921113689095</v>
      </c>
      <c r="F1393" s="140">
        <v>2.9428688647370791</v>
      </c>
    </row>
    <row r="1394" spans="1:6">
      <c r="A1394" s="149" t="s">
        <v>2962</v>
      </c>
      <c r="B1394" s="144" t="s">
        <v>1450</v>
      </c>
      <c r="C1394" s="44">
        <v>15528</v>
      </c>
      <c r="D1394" s="153">
        <f t="shared" si="21"/>
        <v>0.97050000000000003</v>
      </c>
      <c r="E1394" s="43">
        <v>28013.921113689095</v>
      </c>
      <c r="F1394" s="140">
        <v>2.9428688647370791</v>
      </c>
    </row>
    <row r="1395" spans="1:6">
      <c r="A1395" s="149" t="s">
        <v>2962</v>
      </c>
      <c r="B1395" s="144" t="s">
        <v>1451</v>
      </c>
      <c r="C1395" s="44">
        <v>15527</v>
      </c>
      <c r="D1395" s="153">
        <f t="shared" si="21"/>
        <v>0.97043750000000006</v>
      </c>
      <c r="E1395" s="43">
        <v>28011.716257757671</v>
      </c>
      <c r="F1395" s="140">
        <v>2.9444404770307528</v>
      </c>
    </row>
    <row r="1396" spans="1:6">
      <c r="A1396" s="149" t="s">
        <v>2962</v>
      </c>
      <c r="B1396" s="144" t="s">
        <v>1452</v>
      </c>
      <c r="C1396" s="44">
        <v>15527</v>
      </c>
      <c r="D1396" s="153">
        <f t="shared" si="21"/>
        <v>0.97043750000000006</v>
      </c>
      <c r="E1396" s="43">
        <v>28011.716257757671</v>
      </c>
      <c r="F1396" s="140">
        <v>2.9444404770307528</v>
      </c>
    </row>
    <row r="1397" spans="1:6">
      <c r="A1397" s="149" t="s">
        <v>2962</v>
      </c>
      <c r="B1397" s="144" t="s">
        <v>1453</v>
      </c>
      <c r="C1397" s="44">
        <v>15527</v>
      </c>
      <c r="D1397" s="153">
        <f t="shared" si="21"/>
        <v>0.97043750000000006</v>
      </c>
      <c r="E1397" s="43">
        <v>28011.716257757671</v>
      </c>
      <c r="F1397" s="140">
        <v>2.9444404770307528</v>
      </c>
    </row>
    <row r="1398" spans="1:6">
      <c r="A1398" s="149" t="s">
        <v>2962</v>
      </c>
      <c r="B1398" s="144" t="s">
        <v>1454</v>
      </c>
      <c r="C1398" s="44">
        <v>15527</v>
      </c>
      <c r="D1398" s="153">
        <f t="shared" si="21"/>
        <v>0.97043750000000006</v>
      </c>
      <c r="E1398" s="43">
        <v>28011.716257757671</v>
      </c>
      <c r="F1398" s="140">
        <v>2.9444404770307528</v>
      </c>
    </row>
    <row r="1399" spans="1:6">
      <c r="A1399" s="149" t="s">
        <v>2962</v>
      </c>
      <c r="B1399" s="144" t="s">
        <v>1455</v>
      </c>
      <c r="C1399" s="44">
        <v>15527</v>
      </c>
      <c r="D1399" s="153">
        <f t="shared" si="21"/>
        <v>0.97043750000000006</v>
      </c>
      <c r="E1399" s="43">
        <v>28011.716257757671</v>
      </c>
      <c r="F1399" s="140">
        <v>2.9444404770307528</v>
      </c>
    </row>
    <row r="1400" spans="1:6">
      <c r="A1400" s="149" t="s">
        <v>2962</v>
      </c>
      <c r="B1400" s="144" t="s">
        <v>1456</v>
      </c>
      <c r="C1400" s="44">
        <v>15527</v>
      </c>
      <c r="D1400" s="153">
        <f t="shared" si="21"/>
        <v>0.97043750000000006</v>
      </c>
      <c r="E1400" s="43">
        <v>28011.716257757671</v>
      </c>
      <c r="F1400" s="140">
        <v>2.9444404770307528</v>
      </c>
    </row>
    <row r="1401" spans="1:6">
      <c r="A1401" s="149" t="s">
        <v>2962</v>
      </c>
      <c r="B1401" s="144" t="s">
        <v>1457</v>
      </c>
      <c r="C1401" s="44">
        <v>15527</v>
      </c>
      <c r="D1401" s="153">
        <f t="shared" si="21"/>
        <v>0.97043750000000006</v>
      </c>
      <c r="E1401" s="43">
        <v>28011.716257757671</v>
      </c>
      <c r="F1401" s="140">
        <v>2.9444404770307528</v>
      </c>
    </row>
    <row r="1402" spans="1:6">
      <c r="A1402" s="149" t="s">
        <v>2962</v>
      </c>
      <c r="B1402" s="144" t="s">
        <v>1458</v>
      </c>
      <c r="C1402" s="44">
        <v>15526</v>
      </c>
      <c r="D1402" s="153">
        <f t="shared" si="21"/>
        <v>0.97037499999999999</v>
      </c>
      <c r="E1402" s="43">
        <v>28009.511657580326</v>
      </c>
      <c r="F1402" s="140">
        <v>2.9460120461052952</v>
      </c>
    </row>
    <row r="1403" spans="1:6">
      <c r="A1403" s="149" t="s">
        <v>2962</v>
      </c>
      <c r="B1403" s="144" t="s">
        <v>1459</v>
      </c>
      <c r="C1403" s="44">
        <v>15526</v>
      </c>
      <c r="D1403" s="153">
        <f t="shared" si="21"/>
        <v>0.97037499999999999</v>
      </c>
      <c r="E1403" s="43">
        <v>28009.511657580326</v>
      </c>
      <c r="F1403" s="140">
        <v>2.9460120461052952</v>
      </c>
    </row>
    <row r="1404" spans="1:6">
      <c r="A1404" s="149" t="s">
        <v>2962</v>
      </c>
      <c r="B1404" s="144" t="s">
        <v>1460</v>
      </c>
      <c r="C1404" s="44">
        <v>15526</v>
      </c>
      <c r="D1404" s="153">
        <f t="shared" si="21"/>
        <v>0.97037499999999999</v>
      </c>
      <c r="E1404" s="43">
        <v>28009.511657580326</v>
      </c>
      <c r="F1404" s="140">
        <v>2.9460120461052952</v>
      </c>
    </row>
    <row r="1405" spans="1:6">
      <c r="A1405" s="149" t="s">
        <v>2962</v>
      </c>
      <c r="B1405" s="144" t="s">
        <v>1461</v>
      </c>
      <c r="C1405" s="44">
        <v>15526</v>
      </c>
      <c r="D1405" s="153">
        <f t="shared" si="21"/>
        <v>0.97037499999999999</v>
      </c>
      <c r="E1405" s="43">
        <v>28009.511657580326</v>
      </c>
      <c r="F1405" s="140">
        <v>2.9460120461052952</v>
      </c>
    </row>
    <row r="1406" spans="1:6">
      <c r="A1406" s="149" t="s">
        <v>2962</v>
      </c>
      <c r="B1406" s="144" t="s">
        <v>1462</v>
      </c>
      <c r="C1406" s="44">
        <v>15526</v>
      </c>
      <c r="D1406" s="153">
        <f t="shared" si="21"/>
        <v>0.97037499999999999</v>
      </c>
      <c r="E1406" s="43">
        <v>28009.511657580326</v>
      </c>
      <c r="F1406" s="140">
        <v>2.9460120461052952</v>
      </c>
    </row>
    <row r="1407" spans="1:6">
      <c r="A1407" s="149" t="s">
        <v>2962</v>
      </c>
      <c r="B1407" s="144" t="s">
        <v>1463</v>
      </c>
      <c r="C1407" s="44">
        <v>15526</v>
      </c>
      <c r="D1407" s="153">
        <f t="shared" si="21"/>
        <v>0.97037499999999999</v>
      </c>
      <c r="E1407" s="43">
        <v>28009.511657580326</v>
      </c>
      <c r="F1407" s="140">
        <v>2.9460120461052952</v>
      </c>
    </row>
    <row r="1408" spans="1:6">
      <c r="A1408" s="149" t="s">
        <v>2962</v>
      </c>
      <c r="B1408" s="144" t="s">
        <v>1464</v>
      </c>
      <c r="C1408" s="44">
        <v>15526</v>
      </c>
      <c r="D1408" s="153">
        <f t="shared" si="21"/>
        <v>0.97037499999999999</v>
      </c>
      <c r="E1408" s="43">
        <v>28009.511657580326</v>
      </c>
      <c r="F1408" s="140">
        <v>2.9460120461052952</v>
      </c>
    </row>
    <row r="1409" spans="1:6">
      <c r="A1409" s="149" t="s">
        <v>2962</v>
      </c>
      <c r="B1409" s="144" t="s">
        <v>1465</v>
      </c>
      <c r="C1409" s="44">
        <v>15526</v>
      </c>
      <c r="D1409" s="153">
        <f t="shared" si="21"/>
        <v>0.97037499999999999</v>
      </c>
      <c r="E1409" s="43">
        <v>28009.511657580326</v>
      </c>
      <c r="F1409" s="140">
        <v>2.9460120461052952</v>
      </c>
    </row>
    <row r="1410" spans="1:6">
      <c r="A1410" s="149" t="s">
        <v>2962</v>
      </c>
      <c r="B1410" s="144" t="s">
        <v>1466</v>
      </c>
      <c r="C1410" s="44">
        <v>15526</v>
      </c>
      <c r="D1410" s="153">
        <f t="shared" si="21"/>
        <v>0.97037499999999999</v>
      </c>
      <c r="E1410" s="43">
        <v>28009.511657580326</v>
      </c>
      <c r="F1410" s="140">
        <v>2.9460120461052952</v>
      </c>
    </row>
    <row r="1411" spans="1:6">
      <c r="A1411" s="149" t="s">
        <v>2962</v>
      </c>
      <c r="B1411" s="144" t="s">
        <v>1467</v>
      </c>
      <c r="C1411" s="44">
        <v>15526</v>
      </c>
      <c r="D1411" s="153">
        <f t="shared" si="21"/>
        <v>0.97037499999999999</v>
      </c>
      <c r="E1411" s="43">
        <v>28009.511657580326</v>
      </c>
      <c r="F1411" s="140">
        <v>2.9460120461052952</v>
      </c>
    </row>
    <row r="1412" spans="1:6">
      <c r="A1412" s="149" t="s">
        <v>2962</v>
      </c>
      <c r="B1412" s="144" t="s">
        <v>1468</v>
      </c>
      <c r="C1412" s="44">
        <v>15525</v>
      </c>
      <c r="D1412" s="153">
        <f t="shared" si="21"/>
        <v>0.97031250000000002</v>
      </c>
      <c r="E1412" s="43">
        <v>28007.307313112567</v>
      </c>
      <c r="F1412" s="140">
        <v>2.9475835719673569</v>
      </c>
    </row>
    <row r="1413" spans="1:6">
      <c r="A1413" s="149" t="s">
        <v>2962</v>
      </c>
      <c r="B1413" s="144" t="s">
        <v>1469</v>
      </c>
      <c r="C1413" s="44">
        <v>15525</v>
      </c>
      <c r="D1413" s="153">
        <f t="shared" si="21"/>
        <v>0.97031250000000002</v>
      </c>
      <c r="E1413" s="43">
        <v>28007.307313112567</v>
      </c>
      <c r="F1413" s="140">
        <v>2.9475835719673569</v>
      </c>
    </row>
    <row r="1414" spans="1:6">
      <c r="A1414" s="149" t="s">
        <v>2962</v>
      </c>
      <c r="B1414" s="144" t="s">
        <v>1470</v>
      </c>
      <c r="C1414" s="44">
        <v>15525</v>
      </c>
      <c r="D1414" s="153">
        <f t="shared" si="21"/>
        <v>0.97031250000000002</v>
      </c>
      <c r="E1414" s="43">
        <v>28007.307313112567</v>
      </c>
      <c r="F1414" s="140">
        <v>2.9475835719673569</v>
      </c>
    </row>
    <row r="1415" spans="1:6">
      <c r="A1415" s="149" t="s">
        <v>2962</v>
      </c>
      <c r="B1415" s="144" t="s">
        <v>1471</v>
      </c>
      <c r="C1415" s="44">
        <v>15525</v>
      </c>
      <c r="D1415" s="153">
        <f t="shared" ref="D1415:D1478" si="22">C1415/32768*4.096/2</f>
        <v>0.97031250000000002</v>
      </c>
      <c r="E1415" s="43">
        <v>28007.307313112567</v>
      </c>
      <c r="F1415" s="140">
        <v>2.9475835719673569</v>
      </c>
    </row>
    <row r="1416" spans="1:6">
      <c r="A1416" s="149" t="s">
        <v>2962</v>
      </c>
      <c r="B1416" s="144" t="s">
        <v>1472</v>
      </c>
      <c r="C1416" s="44">
        <v>15525</v>
      </c>
      <c r="D1416" s="153">
        <f t="shared" si="22"/>
        <v>0.97031250000000002</v>
      </c>
      <c r="E1416" s="43">
        <v>28007.307313112567</v>
      </c>
      <c r="F1416" s="140">
        <v>2.9475835719673569</v>
      </c>
    </row>
    <row r="1417" spans="1:6">
      <c r="A1417" s="149" t="s">
        <v>2962</v>
      </c>
      <c r="B1417" s="144" t="s">
        <v>1473</v>
      </c>
      <c r="C1417" s="44">
        <v>15525</v>
      </c>
      <c r="D1417" s="153">
        <f t="shared" si="22"/>
        <v>0.97031250000000002</v>
      </c>
      <c r="E1417" s="43">
        <v>28007.307313112567</v>
      </c>
      <c r="F1417" s="140">
        <v>2.9475835719673569</v>
      </c>
    </row>
    <row r="1418" spans="1:6">
      <c r="A1418" s="149" t="s">
        <v>2962</v>
      </c>
      <c r="B1418" s="144" t="s">
        <v>1474</v>
      </c>
      <c r="C1418" s="44">
        <v>15525</v>
      </c>
      <c r="D1418" s="153">
        <f t="shared" si="22"/>
        <v>0.97031250000000002</v>
      </c>
      <c r="E1418" s="43">
        <v>28007.307313112567</v>
      </c>
      <c r="F1418" s="140">
        <v>2.9475835719673569</v>
      </c>
    </row>
    <row r="1419" spans="1:6">
      <c r="A1419" s="149" t="s">
        <v>2962</v>
      </c>
      <c r="B1419" s="144" t="s">
        <v>1475</v>
      </c>
      <c r="C1419" s="44">
        <v>15525</v>
      </c>
      <c r="D1419" s="153">
        <f t="shared" si="22"/>
        <v>0.97031250000000002</v>
      </c>
      <c r="E1419" s="43">
        <v>28007.307313112567</v>
      </c>
      <c r="F1419" s="140">
        <v>2.9475835719673569</v>
      </c>
    </row>
    <row r="1420" spans="1:6">
      <c r="A1420" s="149" t="s">
        <v>2962</v>
      </c>
      <c r="B1420" s="144" t="s">
        <v>1476</v>
      </c>
      <c r="C1420" s="44">
        <v>15525</v>
      </c>
      <c r="D1420" s="153">
        <f t="shared" si="22"/>
        <v>0.97031250000000002</v>
      </c>
      <c r="E1420" s="43">
        <v>28007.307313112567</v>
      </c>
      <c r="F1420" s="140">
        <v>2.9475835719673569</v>
      </c>
    </row>
    <row r="1421" spans="1:6">
      <c r="A1421" s="149" t="s">
        <v>2962</v>
      </c>
      <c r="B1421" s="144" t="s">
        <v>1477</v>
      </c>
      <c r="C1421" s="44">
        <v>15525</v>
      </c>
      <c r="D1421" s="153">
        <f t="shared" si="22"/>
        <v>0.97031250000000002</v>
      </c>
      <c r="E1421" s="43">
        <v>28007.307313112567</v>
      </c>
      <c r="F1421" s="140">
        <v>2.9475835719673569</v>
      </c>
    </row>
    <row r="1422" spans="1:6">
      <c r="A1422" s="149" t="s">
        <v>2962</v>
      </c>
      <c r="B1422" s="144" t="s">
        <v>1478</v>
      </c>
      <c r="C1422" s="44">
        <v>15525</v>
      </c>
      <c r="D1422" s="153">
        <f t="shared" si="22"/>
        <v>0.97031250000000002</v>
      </c>
      <c r="E1422" s="43">
        <v>28007.307313112567</v>
      </c>
      <c r="F1422" s="140">
        <v>2.9475835719673569</v>
      </c>
    </row>
    <row r="1423" spans="1:6">
      <c r="A1423" s="149" t="s">
        <v>2962</v>
      </c>
      <c r="B1423" s="144" t="s">
        <v>1479</v>
      </c>
      <c r="C1423" s="44">
        <v>15525</v>
      </c>
      <c r="D1423" s="153">
        <f t="shared" si="22"/>
        <v>0.97031250000000002</v>
      </c>
      <c r="E1423" s="43">
        <v>28007.307313112567</v>
      </c>
      <c r="F1423" s="140">
        <v>2.9475835719673569</v>
      </c>
    </row>
    <row r="1424" spans="1:6">
      <c r="A1424" s="149" t="s">
        <v>2962</v>
      </c>
      <c r="B1424" s="144" t="s">
        <v>1480</v>
      </c>
      <c r="C1424" s="44">
        <v>15524</v>
      </c>
      <c r="D1424" s="153">
        <f t="shared" si="22"/>
        <v>0.97025000000000006</v>
      </c>
      <c r="E1424" s="43">
        <v>28005.103224309903</v>
      </c>
      <c r="F1424" s="140">
        <v>2.9491550546237022</v>
      </c>
    </row>
    <row r="1425" spans="1:6">
      <c r="A1425" s="149" t="s">
        <v>2962</v>
      </c>
      <c r="B1425" s="144" t="s">
        <v>1481</v>
      </c>
      <c r="C1425" s="44">
        <v>15524</v>
      </c>
      <c r="D1425" s="153">
        <f t="shared" si="22"/>
        <v>0.97025000000000006</v>
      </c>
      <c r="E1425" s="43">
        <v>28005.103224309903</v>
      </c>
      <c r="F1425" s="140">
        <v>2.9491550546237022</v>
      </c>
    </row>
    <row r="1426" spans="1:6">
      <c r="A1426" s="149" t="s">
        <v>2962</v>
      </c>
      <c r="B1426" s="144" t="s">
        <v>1482</v>
      </c>
      <c r="C1426" s="44">
        <v>15524</v>
      </c>
      <c r="D1426" s="153">
        <f t="shared" si="22"/>
        <v>0.97025000000000006</v>
      </c>
      <c r="E1426" s="43">
        <v>28005.103224309903</v>
      </c>
      <c r="F1426" s="140">
        <v>2.9491550546237022</v>
      </c>
    </row>
    <row r="1427" spans="1:6">
      <c r="A1427" s="149" t="s">
        <v>2962</v>
      </c>
      <c r="B1427" s="144" t="s">
        <v>1483</v>
      </c>
      <c r="C1427" s="44">
        <v>15524</v>
      </c>
      <c r="D1427" s="153">
        <f t="shared" si="22"/>
        <v>0.97025000000000006</v>
      </c>
      <c r="E1427" s="43">
        <v>28005.103224309903</v>
      </c>
      <c r="F1427" s="140">
        <v>2.9491550546237022</v>
      </c>
    </row>
    <row r="1428" spans="1:6">
      <c r="A1428" s="149" t="s">
        <v>2962</v>
      </c>
      <c r="B1428" s="144" t="s">
        <v>1484</v>
      </c>
      <c r="C1428" s="44">
        <v>15524</v>
      </c>
      <c r="D1428" s="153">
        <f t="shared" si="22"/>
        <v>0.97025000000000006</v>
      </c>
      <c r="E1428" s="43">
        <v>28005.103224309903</v>
      </c>
      <c r="F1428" s="140">
        <v>2.9491550546237022</v>
      </c>
    </row>
    <row r="1429" spans="1:6">
      <c r="A1429" s="149" t="s">
        <v>2962</v>
      </c>
      <c r="B1429" s="144" t="s">
        <v>1485</v>
      </c>
      <c r="C1429" s="44">
        <v>15524</v>
      </c>
      <c r="D1429" s="153">
        <f t="shared" si="22"/>
        <v>0.97025000000000006</v>
      </c>
      <c r="E1429" s="43">
        <v>28005.103224309903</v>
      </c>
      <c r="F1429" s="140">
        <v>2.9491550546237022</v>
      </c>
    </row>
    <row r="1430" spans="1:6">
      <c r="A1430" s="149" t="s">
        <v>2962</v>
      </c>
      <c r="B1430" s="144" t="s">
        <v>1486</v>
      </c>
      <c r="C1430" s="44">
        <v>15524</v>
      </c>
      <c r="D1430" s="153">
        <f t="shared" si="22"/>
        <v>0.97025000000000006</v>
      </c>
      <c r="E1430" s="43">
        <v>28005.103224309903</v>
      </c>
      <c r="F1430" s="140">
        <v>2.9491550546237022</v>
      </c>
    </row>
    <row r="1431" spans="1:6">
      <c r="A1431" s="149" t="s">
        <v>2962</v>
      </c>
      <c r="B1431" s="144" t="s">
        <v>1487</v>
      </c>
      <c r="C1431" s="44">
        <v>15524</v>
      </c>
      <c r="D1431" s="153">
        <f t="shared" si="22"/>
        <v>0.97025000000000006</v>
      </c>
      <c r="E1431" s="43">
        <v>28005.103224309903</v>
      </c>
      <c r="F1431" s="140">
        <v>2.9491550546237022</v>
      </c>
    </row>
    <row r="1432" spans="1:6">
      <c r="A1432" s="149" t="s">
        <v>2962</v>
      </c>
      <c r="B1432" s="144" t="s">
        <v>1488</v>
      </c>
      <c r="C1432" s="44">
        <v>15524</v>
      </c>
      <c r="D1432" s="153">
        <f t="shared" si="22"/>
        <v>0.97025000000000006</v>
      </c>
      <c r="E1432" s="43">
        <v>28005.103224309903</v>
      </c>
      <c r="F1432" s="140">
        <v>2.9491550546237022</v>
      </c>
    </row>
    <row r="1433" spans="1:6">
      <c r="A1433" s="149" t="s">
        <v>2962</v>
      </c>
      <c r="B1433" s="144" t="s">
        <v>1489</v>
      </c>
      <c r="C1433" s="44">
        <v>15524</v>
      </c>
      <c r="D1433" s="153">
        <f t="shared" si="22"/>
        <v>0.97025000000000006</v>
      </c>
      <c r="E1433" s="43">
        <v>28005.103224309903</v>
      </c>
      <c r="F1433" s="140">
        <v>2.9491550546237022</v>
      </c>
    </row>
    <row r="1434" spans="1:6">
      <c r="A1434" s="149" t="s">
        <v>2962</v>
      </c>
      <c r="B1434" s="144" t="s">
        <v>1490</v>
      </c>
      <c r="C1434" s="44">
        <v>15524</v>
      </c>
      <c r="D1434" s="153">
        <f t="shared" si="22"/>
        <v>0.97025000000000006</v>
      </c>
      <c r="E1434" s="43">
        <v>28005.103224309903</v>
      </c>
      <c r="F1434" s="140">
        <v>2.9491550546237022</v>
      </c>
    </row>
    <row r="1435" spans="1:6">
      <c r="A1435" s="149" t="s">
        <v>2962</v>
      </c>
      <c r="B1435" s="144" t="s">
        <v>1491</v>
      </c>
      <c r="C1435" s="44">
        <v>15524</v>
      </c>
      <c r="D1435" s="153">
        <f t="shared" si="22"/>
        <v>0.97025000000000006</v>
      </c>
      <c r="E1435" s="43">
        <v>28005.103224309903</v>
      </c>
      <c r="F1435" s="140">
        <v>2.9491550546237022</v>
      </c>
    </row>
    <row r="1436" spans="1:6">
      <c r="A1436" s="149" t="s">
        <v>2962</v>
      </c>
      <c r="B1436" s="144" t="s">
        <v>1492</v>
      </c>
      <c r="C1436" s="44">
        <v>15524</v>
      </c>
      <c r="D1436" s="153">
        <f t="shared" si="22"/>
        <v>0.97025000000000006</v>
      </c>
      <c r="E1436" s="43">
        <v>28005.103224309903</v>
      </c>
      <c r="F1436" s="140">
        <v>2.9491550546237022</v>
      </c>
    </row>
    <row r="1437" spans="1:6">
      <c r="A1437" s="149" t="s">
        <v>2962</v>
      </c>
      <c r="B1437" s="144" t="s">
        <v>1493</v>
      </c>
      <c r="C1437" s="44">
        <v>15524</v>
      </c>
      <c r="D1437" s="153">
        <f t="shared" si="22"/>
        <v>0.97025000000000006</v>
      </c>
      <c r="E1437" s="43">
        <v>28005.103224309903</v>
      </c>
      <c r="F1437" s="140">
        <v>2.9491550546237022</v>
      </c>
    </row>
    <row r="1438" spans="1:6">
      <c r="A1438" s="149" t="s">
        <v>2962</v>
      </c>
      <c r="B1438" s="144" t="s">
        <v>1494</v>
      </c>
      <c r="C1438" s="44">
        <v>15524</v>
      </c>
      <c r="D1438" s="153">
        <f t="shared" si="22"/>
        <v>0.97025000000000006</v>
      </c>
      <c r="E1438" s="43">
        <v>28005.103224309903</v>
      </c>
      <c r="F1438" s="140">
        <v>2.9491550546237022</v>
      </c>
    </row>
    <row r="1439" spans="1:6">
      <c r="A1439" s="149" t="s">
        <v>2962</v>
      </c>
      <c r="B1439" s="144" t="s">
        <v>1495</v>
      </c>
      <c r="C1439" s="44">
        <v>15524</v>
      </c>
      <c r="D1439" s="153">
        <f t="shared" si="22"/>
        <v>0.97025000000000006</v>
      </c>
      <c r="E1439" s="43">
        <v>28005.103224309903</v>
      </c>
      <c r="F1439" s="140">
        <v>2.9491550546237022</v>
      </c>
    </row>
    <row r="1440" spans="1:6">
      <c r="A1440" s="149" t="s">
        <v>2962</v>
      </c>
      <c r="B1440" s="144" t="s">
        <v>1496</v>
      </c>
      <c r="C1440" s="44">
        <v>15524</v>
      </c>
      <c r="D1440" s="153">
        <f t="shared" si="22"/>
        <v>0.97025000000000006</v>
      </c>
      <c r="E1440" s="43">
        <v>28005.103224309903</v>
      </c>
      <c r="F1440" s="140">
        <v>2.9491550546237022</v>
      </c>
    </row>
    <row r="1441" spans="1:6">
      <c r="A1441" s="149" t="s">
        <v>2962</v>
      </c>
      <c r="B1441" s="144" t="s">
        <v>1497</v>
      </c>
      <c r="C1441" s="44">
        <v>15524</v>
      </c>
      <c r="D1441" s="153">
        <f t="shared" si="22"/>
        <v>0.97025000000000006</v>
      </c>
      <c r="E1441" s="43">
        <v>28005.103224309903</v>
      </c>
      <c r="F1441" s="140">
        <v>2.9491550546237022</v>
      </c>
    </row>
    <row r="1442" spans="1:6">
      <c r="A1442" s="149" t="s">
        <v>2962</v>
      </c>
      <c r="B1442" s="144" t="s">
        <v>1498</v>
      </c>
      <c r="C1442" s="44">
        <v>15523</v>
      </c>
      <c r="D1442" s="153">
        <f t="shared" si="22"/>
        <v>0.97018749999999998</v>
      </c>
      <c r="E1442" s="43">
        <v>28002.899391127863</v>
      </c>
      <c r="F1442" s="140">
        <v>2.9507264940808113</v>
      </c>
    </row>
    <row r="1443" spans="1:6">
      <c r="A1443" s="149" t="s">
        <v>2962</v>
      </c>
      <c r="B1443" s="144" t="s">
        <v>1499</v>
      </c>
      <c r="C1443" s="44">
        <v>15523</v>
      </c>
      <c r="D1443" s="153">
        <f t="shared" si="22"/>
        <v>0.97018749999999998</v>
      </c>
      <c r="E1443" s="43">
        <v>28002.899391127863</v>
      </c>
      <c r="F1443" s="140">
        <v>2.9507264940808113</v>
      </c>
    </row>
    <row r="1444" spans="1:6">
      <c r="A1444" s="149" t="s">
        <v>2962</v>
      </c>
      <c r="B1444" s="144" t="s">
        <v>1500</v>
      </c>
      <c r="C1444" s="44">
        <v>15523</v>
      </c>
      <c r="D1444" s="153">
        <f t="shared" si="22"/>
        <v>0.97018749999999998</v>
      </c>
      <c r="E1444" s="43">
        <v>28002.899391127863</v>
      </c>
      <c r="F1444" s="140">
        <v>2.9507264940808113</v>
      </c>
    </row>
    <row r="1445" spans="1:6">
      <c r="A1445" s="149" t="s">
        <v>2962</v>
      </c>
      <c r="B1445" s="144" t="s">
        <v>1501</v>
      </c>
      <c r="C1445" s="44">
        <v>15523</v>
      </c>
      <c r="D1445" s="153">
        <f t="shared" si="22"/>
        <v>0.97018749999999998</v>
      </c>
      <c r="E1445" s="43">
        <v>28002.899391127863</v>
      </c>
      <c r="F1445" s="140">
        <v>2.9507264940808113</v>
      </c>
    </row>
    <row r="1446" spans="1:6">
      <c r="A1446" s="149" t="s">
        <v>2962</v>
      </c>
      <c r="B1446" s="144" t="s">
        <v>1502</v>
      </c>
      <c r="C1446" s="44">
        <v>15523</v>
      </c>
      <c r="D1446" s="153">
        <f t="shared" si="22"/>
        <v>0.97018749999999998</v>
      </c>
      <c r="E1446" s="43">
        <v>28002.899391127863</v>
      </c>
      <c r="F1446" s="140">
        <v>2.9507264940808113</v>
      </c>
    </row>
    <row r="1447" spans="1:6">
      <c r="A1447" s="149" t="s">
        <v>2962</v>
      </c>
      <c r="B1447" s="144" t="s">
        <v>1503</v>
      </c>
      <c r="C1447" s="44">
        <v>15523</v>
      </c>
      <c r="D1447" s="153">
        <f t="shared" si="22"/>
        <v>0.97018749999999998</v>
      </c>
      <c r="E1447" s="43">
        <v>28002.899391127863</v>
      </c>
      <c r="F1447" s="140">
        <v>2.9507264940808113</v>
      </c>
    </row>
    <row r="1448" spans="1:6">
      <c r="A1448" s="149" t="s">
        <v>2962</v>
      </c>
      <c r="B1448" s="144" t="s">
        <v>1504</v>
      </c>
      <c r="C1448" s="44">
        <v>15523</v>
      </c>
      <c r="D1448" s="153">
        <f t="shared" si="22"/>
        <v>0.97018749999999998</v>
      </c>
      <c r="E1448" s="43">
        <v>28002.899391127863</v>
      </c>
      <c r="F1448" s="140">
        <v>2.9507264940808113</v>
      </c>
    </row>
    <row r="1449" spans="1:6">
      <c r="A1449" s="149" t="s">
        <v>2962</v>
      </c>
      <c r="B1449" s="144" t="s">
        <v>1505</v>
      </c>
      <c r="C1449" s="44">
        <v>15523</v>
      </c>
      <c r="D1449" s="153">
        <f t="shared" si="22"/>
        <v>0.97018749999999998</v>
      </c>
      <c r="E1449" s="43">
        <v>28002.899391127863</v>
      </c>
      <c r="F1449" s="140">
        <v>2.9507264940808113</v>
      </c>
    </row>
    <row r="1450" spans="1:6">
      <c r="A1450" s="149" t="s">
        <v>2962</v>
      </c>
      <c r="B1450" s="144" t="s">
        <v>1506</v>
      </c>
      <c r="C1450" s="44">
        <v>15523</v>
      </c>
      <c r="D1450" s="153">
        <f t="shared" si="22"/>
        <v>0.97018749999999998</v>
      </c>
      <c r="E1450" s="43">
        <v>28002.899391127863</v>
      </c>
      <c r="F1450" s="140">
        <v>2.9507264940808113</v>
      </c>
    </row>
    <row r="1451" spans="1:6">
      <c r="A1451" s="149" t="s">
        <v>2962</v>
      </c>
      <c r="B1451" s="144" t="s">
        <v>1507</v>
      </c>
      <c r="C1451" s="44">
        <v>15523</v>
      </c>
      <c r="D1451" s="153">
        <f t="shared" si="22"/>
        <v>0.97018749999999998</v>
      </c>
      <c r="E1451" s="43">
        <v>28002.899391127863</v>
      </c>
      <c r="F1451" s="140">
        <v>2.9507264940808113</v>
      </c>
    </row>
    <row r="1452" spans="1:6">
      <c r="A1452" s="149" t="s">
        <v>2962</v>
      </c>
      <c r="B1452" s="144" t="s">
        <v>1508</v>
      </c>
      <c r="C1452" s="44">
        <v>15523</v>
      </c>
      <c r="D1452" s="153">
        <f t="shared" si="22"/>
        <v>0.97018749999999998</v>
      </c>
      <c r="E1452" s="43">
        <v>28002.899391127863</v>
      </c>
      <c r="F1452" s="140">
        <v>2.9507264940808113</v>
      </c>
    </row>
    <row r="1453" spans="1:6">
      <c r="A1453" s="149" t="s">
        <v>2962</v>
      </c>
      <c r="B1453" s="144" t="s">
        <v>1509</v>
      </c>
      <c r="C1453" s="44">
        <v>15523</v>
      </c>
      <c r="D1453" s="153">
        <f t="shared" si="22"/>
        <v>0.97018749999999998</v>
      </c>
      <c r="E1453" s="43">
        <v>28002.899391127863</v>
      </c>
      <c r="F1453" s="140">
        <v>2.9507264940808113</v>
      </c>
    </row>
    <row r="1454" spans="1:6">
      <c r="A1454" s="149" t="s">
        <v>2962</v>
      </c>
      <c r="B1454" s="144" t="s">
        <v>1510</v>
      </c>
      <c r="C1454" s="44">
        <v>15523</v>
      </c>
      <c r="D1454" s="153">
        <f t="shared" si="22"/>
        <v>0.97018749999999998</v>
      </c>
      <c r="E1454" s="43">
        <v>28002.899391127863</v>
      </c>
      <c r="F1454" s="140">
        <v>2.9507264940808113</v>
      </c>
    </row>
    <row r="1455" spans="1:6">
      <c r="A1455" s="149" t="s">
        <v>2962</v>
      </c>
      <c r="B1455" s="144" t="s">
        <v>1511</v>
      </c>
      <c r="C1455" s="44">
        <v>15523</v>
      </c>
      <c r="D1455" s="153">
        <f t="shared" si="22"/>
        <v>0.97018749999999998</v>
      </c>
      <c r="E1455" s="43">
        <v>28002.899391127863</v>
      </c>
      <c r="F1455" s="140">
        <v>2.9507264940808113</v>
      </c>
    </row>
    <row r="1456" spans="1:6">
      <c r="A1456" s="149" t="s">
        <v>2962</v>
      </c>
      <c r="B1456" s="144" t="s">
        <v>1512</v>
      </c>
      <c r="C1456" s="44">
        <v>15523</v>
      </c>
      <c r="D1456" s="153">
        <f t="shared" si="22"/>
        <v>0.97018749999999998</v>
      </c>
      <c r="E1456" s="43">
        <v>28002.899391127863</v>
      </c>
      <c r="F1456" s="140">
        <v>2.9507264940808113</v>
      </c>
    </row>
    <row r="1457" spans="1:6">
      <c r="A1457" s="149" t="s">
        <v>2962</v>
      </c>
      <c r="B1457" s="144" t="s">
        <v>1513</v>
      </c>
      <c r="C1457" s="44">
        <v>15523</v>
      </c>
      <c r="D1457" s="153">
        <f t="shared" si="22"/>
        <v>0.97018749999999998</v>
      </c>
      <c r="E1457" s="43">
        <v>28002.899391127863</v>
      </c>
      <c r="F1457" s="140">
        <v>2.9507264940808113</v>
      </c>
    </row>
    <row r="1458" spans="1:6">
      <c r="A1458" s="149" t="s">
        <v>2962</v>
      </c>
      <c r="B1458" s="144" t="s">
        <v>1514</v>
      </c>
      <c r="C1458" s="44">
        <v>15523</v>
      </c>
      <c r="D1458" s="153">
        <f t="shared" si="22"/>
        <v>0.97018749999999998</v>
      </c>
      <c r="E1458" s="43">
        <v>28002.899391127863</v>
      </c>
      <c r="F1458" s="140">
        <v>2.9507264940808113</v>
      </c>
    </row>
    <row r="1459" spans="1:6">
      <c r="A1459" s="149" t="s">
        <v>2962</v>
      </c>
      <c r="B1459" s="144" t="s">
        <v>1515</v>
      </c>
      <c r="C1459" s="44">
        <v>15523</v>
      </c>
      <c r="D1459" s="153">
        <f t="shared" si="22"/>
        <v>0.97018749999999998</v>
      </c>
      <c r="E1459" s="43">
        <v>28002.899391127863</v>
      </c>
      <c r="F1459" s="140">
        <v>2.9507264940808113</v>
      </c>
    </row>
    <row r="1460" spans="1:6">
      <c r="A1460" s="149" t="s">
        <v>2962</v>
      </c>
      <c r="B1460" s="144" t="s">
        <v>1516</v>
      </c>
      <c r="C1460" s="44">
        <v>15523</v>
      </c>
      <c r="D1460" s="153">
        <f t="shared" si="22"/>
        <v>0.97018749999999998</v>
      </c>
      <c r="E1460" s="43">
        <v>28002.899391127863</v>
      </c>
      <c r="F1460" s="140">
        <v>2.9507264940808113</v>
      </c>
    </row>
    <row r="1461" spans="1:6">
      <c r="A1461" s="149" t="s">
        <v>2962</v>
      </c>
      <c r="B1461" s="144" t="s">
        <v>1517</v>
      </c>
      <c r="C1461" s="44">
        <v>15523</v>
      </c>
      <c r="D1461" s="153">
        <f t="shared" si="22"/>
        <v>0.97018749999999998</v>
      </c>
      <c r="E1461" s="43">
        <v>28002.899391127863</v>
      </c>
      <c r="F1461" s="140">
        <v>2.9507264940808113</v>
      </c>
    </row>
    <row r="1462" spans="1:6">
      <c r="A1462" s="149" t="s">
        <v>2962</v>
      </c>
      <c r="B1462" s="144" t="s">
        <v>1518</v>
      </c>
      <c r="C1462" s="44">
        <v>15523</v>
      </c>
      <c r="D1462" s="153">
        <f t="shared" si="22"/>
        <v>0.97018749999999998</v>
      </c>
      <c r="E1462" s="43">
        <v>28002.899391127863</v>
      </c>
      <c r="F1462" s="140">
        <v>2.9507264940808113</v>
      </c>
    </row>
    <row r="1463" spans="1:6">
      <c r="A1463" s="149" t="s">
        <v>2962</v>
      </c>
      <c r="B1463" s="144" t="s">
        <v>1519</v>
      </c>
      <c r="C1463" s="44">
        <v>15523</v>
      </c>
      <c r="D1463" s="153">
        <f t="shared" si="22"/>
        <v>0.97018749999999998</v>
      </c>
      <c r="E1463" s="43">
        <v>28002.899391127863</v>
      </c>
      <c r="F1463" s="140">
        <v>2.9507264940808113</v>
      </c>
    </row>
    <row r="1464" spans="1:6">
      <c r="A1464" s="149" t="s">
        <v>2962</v>
      </c>
      <c r="B1464" s="144" t="s">
        <v>1520</v>
      </c>
      <c r="C1464" s="44">
        <v>15523</v>
      </c>
      <c r="D1464" s="153">
        <f t="shared" si="22"/>
        <v>0.97018749999999998</v>
      </c>
      <c r="E1464" s="43">
        <v>28002.899391127863</v>
      </c>
      <c r="F1464" s="140">
        <v>2.9507264940808113</v>
      </c>
    </row>
    <row r="1465" spans="1:6">
      <c r="A1465" s="149" t="s">
        <v>2962</v>
      </c>
      <c r="B1465" s="144" t="s">
        <v>1521</v>
      </c>
      <c r="C1465" s="44">
        <v>15523</v>
      </c>
      <c r="D1465" s="153">
        <f t="shared" si="22"/>
        <v>0.97018749999999998</v>
      </c>
      <c r="E1465" s="43">
        <v>28002.899391127863</v>
      </c>
      <c r="F1465" s="140">
        <v>2.9507264940808113</v>
      </c>
    </row>
    <row r="1466" spans="1:6">
      <c r="A1466" s="149" t="s">
        <v>2962</v>
      </c>
      <c r="B1466" s="144" t="s">
        <v>1522</v>
      </c>
      <c r="C1466" s="44">
        <v>15523</v>
      </c>
      <c r="D1466" s="153">
        <f t="shared" si="22"/>
        <v>0.97018749999999998</v>
      </c>
      <c r="E1466" s="43">
        <v>28002.899391127863</v>
      </c>
      <c r="F1466" s="140">
        <v>2.9507264940808113</v>
      </c>
    </row>
    <row r="1467" spans="1:6">
      <c r="A1467" s="149" t="s">
        <v>2962</v>
      </c>
      <c r="B1467" s="144" t="s">
        <v>1523</v>
      </c>
      <c r="C1467" s="44">
        <v>15523</v>
      </c>
      <c r="D1467" s="153">
        <f t="shared" si="22"/>
        <v>0.97018749999999998</v>
      </c>
      <c r="E1467" s="43">
        <v>28002.899391127863</v>
      </c>
      <c r="F1467" s="140">
        <v>2.9507264940808113</v>
      </c>
    </row>
    <row r="1468" spans="1:6">
      <c r="A1468" s="149" t="s">
        <v>2962</v>
      </c>
      <c r="B1468" s="144" t="s">
        <v>1524</v>
      </c>
      <c r="C1468" s="44">
        <v>15523</v>
      </c>
      <c r="D1468" s="153">
        <f t="shared" si="22"/>
        <v>0.97018749999999998</v>
      </c>
      <c r="E1468" s="43">
        <v>28002.899391127863</v>
      </c>
      <c r="F1468" s="140">
        <v>2.9507264940808113</v>
      </c>
    </row>
    <row r="1469" spans="1:6">
      <c r="A1469" s="149" t="s">
        <v>2962</v>
      </c>
      <c r="B1469" s="144" t="s">
        <v>1525</v>
      </c>
      <c r="C1469" s="44">
        <v>15523</v>
      </c>
      <c r="D1469" s="153">
        <f t="shared" si="22"/>
        <v>0.97018749999999998</v>
      </c>
      <c r="E1469" s="43">
        <v>28002.899391127863</v>
      </c>
      <c r="F1469" s="140">
        <v>2.9507264940808113</v>
      </c>
    </row>
    <row r="1470" spans="1:6">
      <c r="A1470" s="149" t="s">
        <v>2962</v>
      </c>
      <c r="B1470" s="144" t="s">
        <v>1526</v>
      </c>
      <c r="C1470" s="44">
        <v>15523</v>
      </c>
      <c r="D1470" s="153">
        <f t="shared" si="22"/>
        <v>0.97018749999999998</v>
      </c>
      <c r="E1470" s="43">
        <v>28002.899391127863</v>
      </c>
      <c r="F1470" s="140">
        <v>2.9507264940808113</v>
      </c>
    </row>
    <row r="1471" spans="1:6">
      <c r="A1471" s="149" t="s">
        <v>2962</v>
      </c>
      <c r="B1471" s="144" t="s">
        <v>1527</v>
      </c>
      <c r="C1471" s="44">
        <v>15523</v>
      </c>
      <c r="D1471" s="153">
        <f t="shared" si="22"/>
        <v>0.97018749999999998</v>
      </c>
      <c r="E1471" s="43">
        <v>28002.899391127863</v>
      </c>
      <c r="F1471" s="140">
        <v>2.9507264940808113</v>
      </c>
    </row>
    <row r="1472" spans="1:6">
      <c r="A1472" s="149" t="s">
        <v>2962</v>
      </c>
      <c r="B1472" s="144" t="s">
        <v>1528</v>
      </c>
      <c r="C1472" s="44">
        <v>15522</v>
      </c>
      <c r="D1472" s="153">
        <f t="shared" si="22"/>
        <v>0.97012500000000002</v>
      </c>
      <c r="E1472" s="43">
        <v>28000.695813521976</v>
      </c>
      <c r="F1472" s="140">
        <v>2.9522978903454486</v>
      </c>
    </row>
    <row r="1473" spans="1:6">
      <c r="A1473" s="149" t="s">
        <v>2962</v>
      </c>
      <c r="B1473" s="144" t="s">
        <v>1529</v>
      </c>
      <c r="C1473" s="44">
        <v>15522</v>
      </c>
      <c r="D1473" s="153">
        <f t="shared" si="22"/>
        <v>0.97012500000000002</v>
      </c>
      <c r="E1473" s="43">
        <v>28000.695813521976</v>
      </c>
      <c r="F1473" s="140">
        <v>2.9522978903454486</v>
      </c>
    </row>
    <row r="1474" spans="1:6">
      <c r="A1474" s="149" t="s">
        <v>2962</v>
      </c>
      <c r="B1474" s="144" t="s">
        <v>1530</v>
      </c>
      <c r="C1474" s="44">
        <v>15522</v>
      </c>
      <c r="D1474" s="153">
        <f t="shared" si="22"/>
        <v>0.97012500000000002</v>
      </c>
      <c r="E1474" s="43">
        <v>28000.695813521976</v>
      </c>
      <c r="F1474" s="140">
        <v>2.9522978903454486</v>
      </c>
    </row>
    <row r="1475" spans="1:6">
      <c r="A1475" s="149" t="s">
        <v>2962</v>
      </c>
      <c r="B1475" s="144" t="s">
        <v>1531</v>
      </c>
      <c r="C1475" s="44">
        <v>15522</v>
      </c>
      <c r="D1475" s="153">
        <f t="shared" si="22"/>
        <v>0.97012500000000002</v>
      </c>
      <c r="E1475" s="43">
        <v>28000.695813521976</v>
      </c>
      <c r="F1475" s="140">
        <v>2.9522978903454486</v>
      </c>
    </row>
    <row r="1476" spans="1:6">
      <c r="A1476" s="149" t="s">
        <v>2962</v>
      </c>
      <c r="B1476" s="144" t="s">
        <v>1532</v>
      </c>
      <c r="C1476" s="44">
        <v>15522</v>
      </c>
      <c r="D1476" s="153">
        <f t="shared" si="22"/>
        <v>0.97012500000000002</v>
      </c>
      <c r="E1476" s="43">
        <v>28000.695813521976</v>
      </c>
      <c r="F1476" s="140">
        <v>2.9522978903454486</v>
      </c>
    </row>
    <row r="1477" spans="1:6">
      <c r="A1477" s="149" t="s">
        <v>2962</v>
      </c>
      <c r="B1477" s="144" t="s">
        <v>1533</v>
      </c>
      <c r="C1477" s="44">
        <v>15522</v>
      </c>
      <c r="D1477" s="153">
        <f t="shared" si="22"/>
        <v>0.97012500000000002</v>
      </c>
      <c r="E1477" s="43">
        <v>28000.695813521976</v>
      </c>
      <c r="F1477" s="140">
        <v>2.9522978903454486</v>
      </c>
    </row>
    <row r="1478" spans="1:6">
      <c r="A1478" s="149" t="s">
        <v>2962</v>
      </c>
      <c r="B1478" s="144" t="s">
        <v>1534</v>
      </c>
      <c r="C1478" s="44">
        <v>15522</v>
      </c>
      <c r="D1478" s="153">
        <f t="shared" si="22"/>
        <v>0.97012500000000002</v>
      </c>
      <c r="E1478" s="43">
        <v>28000.695813521976</v>
      </c>
      <c r="F1478" s="140">
        <v>2.9522978903454486</v>
      </c>
    </row>
    <row r="1479" spans="1:6">
      <c r="A1479" s="149" t="s">
        <v>2962</v>
      </c>
      <c r="B1479" s="144" t="s">
        <v>1535</v>
      </c>
      <c r="C1479" s="44">
        <v>15522</v>
      </c>
      <c r="D1479" s="153">
        <f t="shared" ref="D1479:D1542" si="23">C1479/32768*4.096/2</f>
        <v>0.97012500000000002</v>
      </c>
      <c r="E1479" s="43">
        <v>28000.695813521976</v>
      </c>
      <c r="F1479" s="140">
        <v>2.9522978903454486</v>
      </c>
    </row>
    <row r="1480" spans="1:6">
      <c r="A1480" s="149" t="s">
        <v>2962</v>
      </c>
      <c r="B1480" s="144" t="s">
        <v>1536</v>
      </c>
      <c r="C1480" s="44">
        <v>15522</v>
      </c>
      <c r="D1480" s="153">
        <f t="shared" si="23"/>
        <v>0.97012500000000002</v>
      </c>
      <c r="E1480" s="43">
        <v>28000.695813521976</v>
      </c>
      <c r="F1480" s="140">
        <v>2.9522978903454486</v>
      </c>
    </row>
    <row r="1481" spans="1:6">
      <c r="A1481" s="149" t="s">
        <v>2962</v>
      </c>
      <c r="B1481" s="144" t="s">
        <v>1537</v>
      </c>
      <c r="C1481" s="44">
        <v>15522</v>
      </c>
      <c r="D1481" s="153">
        <f t="shared" si="23"/>
        <v>0.97012500000000002</v>
      </c>
      <c r="E1481" s="43">
        <v>28000.695813521976</v>
      </c>
      <c r="F1481" s="140">
        <v>2.9522978903454486</v>
      </c>
    </row>
    <row r="1482" spans="1:6">
      <c r="A1482" s="149" t="s">
        <v>2962</v>
      </c>
      <c r="B1482" s="144" t="s">
        <v>1538</v>
      </c>
      <c r="C1482" s="44">
        <v>15522</v>
      </c>
      <c r="D1482" s="153">
        <f t="shared" si="23"/>
        <v>0.97012500000000002</v>
      </c>
      <c r="E1482" s="43">
        <v>28000.695813521976</v>
      </c>
      <c r="F1482" s="140">
        <v>2.9522978903454486</v>
      </c>
    </row>
    <row r="1483" spans="1:6">
      <c r="A1483" s="149" t="s">
        <v>2962</v>
      </c>
      <c r="B1483" s="144" t="s">
        <v>1539</v>
      </c>
      <c r="C1483" s="44">
        <v>15522</v>
      </c>
      <c r="D1483" s="153">
        <f t="shared" si="23"/>
        <v>0.97012500000000002</v>
      </c>
      <c r="E1483" s="43">
        <v>28000.695813521976</v>
      </c>
      <c r="F1483" s="140">
        <v>2.9522978903454486</v>
      </c>
    </row>
    <row r="1484" spans="1:6">
      <c r="A1484" s="149" t="s">
        <v>2962</v>
      </c>
      <c r="B1484" s="144" t="s">
        <v>1540</v>
      </c>
      <c r="C1484" s="44">
        <v>15522</v>
      </c>
      <c r="D1484" s="153">
        <f t="shared" si="23"/>
        <v>0.97012500000000002</v>
      </c>
      <c r="E1484" s="43">
        <v>28000.695813521976</v>
      </c>
      <c r="F1484" s="140">
        <v>2.9522978903454486</v>
      </c>
    </row>
    <row r="1485" spans="1:6">
      <c r="A1485" s="149" t="s">
        <v>2962</v>
      </c>
      <c r="B1485" s="144" t="s">
        <v>1541</v>
      </c>
      <c r="C1485" s="44">
        <v>15522</v>
      </c>
      <c r="D1485" s="153">
        <f t="shared" si="23"/>
        <v>0.97012500000000002</v>
      </c>
      <c r="E1485" s="43">
        <v>28000.695813521976</v>
      </c>
      <c r="F1485" s="140">
        <v>2.9522978903454486</v>
      </c>
    </row>
    <row r="1486" spans="1:6">
      <c r="A1486" s="149" t="s">
        <v>2962</v>
      </c>
      <c r="B1486" s="144" t="s">
        <v>1542</v>
      </c>
      <c r="C1486" s="44">
        <v>15522</v>
      </c>
      <c r="D1486" s="153">
        <f t="shared" si="23"/>
        <v>0.97012500000000002</v>
      </c>
      <c r="E1486" s="43">
        <v>28000.695813521976</v>
      </c>
      <c r="F1486" s="140">
        <v>2.9522978903454486</v>
      </c>
    </row>
    <row r="1487" spans="1:6">
      <c r="A1487" s="149" t="s">
        <v>2962</v>
      </c>
      <c r="B1487" s="144" t="s">
        <v>1543</v>
      </c>
      <c r="C1487" s="44">
        <v>15522</v>
      </c>
      <c r="D1487" s="153">
        <f t="shared" si="23"/>
        <v>0.97012500000000002</v>
      </c>
      <c r="E1487" s="43">
        <v>28000.695813521976</v>
      </c>
      <c r="F1487" s="140">
        <v>2.9522978903454486</v>
      </c>
    </row>
    <row r="1488" spans="1:6">
      <c r="A1488" s="149" t="s">
        <v>2962</v>
      </c>
      <c r="B1488" s="144" t="s">
        <v>1544</v>
      </c>
      <c r="C1488" s="44">
        <v>15522</v>
      </c>
      <c r="D1488" s="153">
        <f t="shared" si="23"/>
        <v>0.97012500000000002</v>
      </c>
      <c r="E1488" s="43">
        <v>28000.695813521976</v>
      </c>
      <c r="F1488" s="140">
        <v>2.9522978903454486</v>
      </c>
    </row>
    <row r="1489" spans="1:6">
      <c r="A1489" s="149" t="s">
        <v>2962</v>
      </c>
      <c r="B1489" s="144" t="s">
        <v>1545</v>
      </c>
      <c r="C1489" s="44">
        <v>15522</v>
      </c>
      <c r="D1489" s="153">
        <f t="shared" si="23"/>
        <v>0.97012500000000002</v>
      </c>
      <c r="E1489" s="43">
        <v>28000.695813521976</v>
      </c>
      <c r="F1489" s="140">
        <v>2.9522978903454486</v>
      </c>
    </row>
    <row r="1490" spans="1:6">
      <c r="A1490" s="149" t="s">
        <v>2962</v>
      </c>
      <c r="B1490" s="144" t="s">
        <v>1546</v>
      </c>
      <c r="C1490" s="44">
        <v>15522</v>
      </c>
      <c r="D1490" s="153">
        <f t="shared" si="23"/>
        <v>0.97012500000000002</v>
      </c>
      <c r="E1490" s="43">
        <v>28000.695813521976</v>
      </c>
      <c r="F1490" s="140">
        <v>2.9522978903454486</v>
      </c>
    </row>
    <row r="1491" spans="1:6">
      <c r="A1491" s="149" t="s">
        <v>2962</v>
      </c>
      <c r="B1491" s="144" t="s">
        <v>1547</v>
      </c>
      <c r="C1491" s="44">
        <v>15522</v>
      </c>
      <c r="D1491" s="153">
        <f t="shared" si="23"/>
        <v>0.97012500000000002</v>
      </c>
      <c r="E1491" s="43">
        <v>28000.695813521976</v>
      </c>
      <c r="F1491" s="140">
        <v>2.9522978903454486</v>
      </c>
    </row>
    <row r="1492" spans="1:6">
      <c r="A1492" s="149" t="s">
        <v>2962</v>
      </c>
      <c r="B1492" s="144" t="s">
        <v>1548</v>
      </c>
      <c r="C1492" s="44">
        <v>15522</v>
      </c>
      <c r="D1492" s="153">
        <f t="shared" si="23"/>
        <v>0.97012500000000002</v>
      </c>
      <c r="E1492" s="43">
        <v>28000.695813521976</v>
      </c>
      <c r="F1492" s="140">
        <v>2.9522978903454486</v>
      </c>
    </row>
    <row r="1493" spans="1:6">
      <c r="A1493" s="149" t="s">
        <v>2962</v>
      </c>
      <c r="B1493" s="144" t="s">
        <v>1549</v>
      </c>
      <c r="C1493" s="44">
        <v>15522</v>
      </c>
      <c r="D1493" s="153">
        <f t="shared" si="23"/>
        <v>0.97012500000000002</v>
      </c>
      <c r="E1493" s="43">
        <v>28000.695813521976</v>
      </c>
      <c r="F1493" s="140">
        <v>2.9522978903454486</v>
      </c>
    </row>
    <row r="1494" spans="1:6">
      <c r="A1494" s="149" t="s">
        <v>2962</v>
      </c>
      <c r="B1494" s="144" t="s">
        <v>1550</v>
      </c>
      <c r="C1494" s="44">
        <v>15522</v>
      </c>
      <c r="D1494" s="153">
        <f t="shared" si="23"/>
        <v>0.97012500000000002</v>
      </c>
      <c r="E1494" s="43">
        <v>28000.695813521976</v>
      </c>
      <c r="F1494" s="140">
        <v>2.9522978903454486</v>
      </c>
    </row>
    <row r="1495" spans="1:6">
      <c r="A1495" s="149" t="s">
        <v>2962</v>
      </c>
      <c r="B1495" s="144" t="s">
        <v>1551</v>
      </c>
      <c r="C1495" s="44">
        <v>15522</v>
      </c>
      <c r="D1495" s="153">
        <f t="shared" si="23"/>
        <v>0.97012500000000002</v>
      </c>
      <c r="E1495" s="43">
        <v>28000.695813521976</v>
      </c>
      <c r="F1495" s="140">
        <v>2.9522978903454486</v>
      </c>
    </row>
    <row r="1496" spans="1:6">
      <c r="A1496" s="149" t="s">
        <v>2962</v>
      </c>
      <c r="B1496" s="144" t="s">
        <v>1552</v>
      </c>
      <c r="C1496" s="44">
        <v>15522</v>
      </c>
      <c r="D1496" s="153">
        <f t="shared" si="23"/>
        <v>0.97012500000000002</v>
      </c>
      <c r="E1496" s="43">
        <v>28000.695813521976</v>
      </c>
      <c r="F1496" s="140">
        <v>2.9522978903454486</v>
      </c>
    </row>
    <row r="1497" spans="1:6">
      <c r="A1497" s="149" t="s">
        <v>2962</v>
      </c>
      <c r="B1497" s="144" t="s">
        <v>1553</v>
      </c>
      <c r="C1497" s="44">
        <v>15522</v>
      </c>
      <c r="D1497" s="153">
        <f t="shared" si="23"/>
        <v>0.97012500000000002</v>
      </c>
      <c r="E1497" s="43">
        <v>28000.695813521976</v>
      </c>
      <c r="F1497" s="140">
        <v>2.9522978903454486</v>
      </c>
    </row>
    <row r="1498" spans="1:6">
      <c r="A1498" s="149" t="s">
        <v>2962</v>
      </c>
      <c r="B1498" s="144" t="s">
        <v>1554</v>
      </c>
      <c r="C1498" s="44">
        <v>15522</v>
      </c>
      <c r="D1498" s="153">
        <f t="shared" si="23"/>
        <v>0.97012500000000002</v>
      </c>
      <c r="E1498" s="43">
        <v>28000.695813521976</v>
      </c>
      <c r="F1498" s="140">
        <v>2.9522978903454486</v>
      </c>
    </row>
    <row r="1499" spans="1:6">
      <c r="A1499" s="149" t="s">
        <v>2962</v>
      </c>
      <c r="B1499" s="144" t="s">
        <v>1555</v>
      </c>
      <c r="C1499" s="44">
        <v>15522</v>
      </c>
      <c r="D1499" s="153">
        <f t="shared" si="23"/>
        <v>0.97012500000000002</v>
      </c>
      <c r="E1499" s="43">
        <v>28000.695813521976</v>
      </c>
      <c r="F1499" s="140">
        <v>2.9522978903454486</v>
      </c>
    </row>
    <row r="1500" spans="1:6">
      <c r="A1500" s="149" t="s">
        <v>2962</v>
      </c>
      <c r="B1500" s="144" t="s">
        <v>1556</v>
      </c>
      <c r="C1500" s="44">
        <v>15522</v>
      </c>
      <c r="D1500" s="153">
        <f t="shared" si="23"/>
        <v>0.97012500000000002</v>
      </c>
      <c r="E1500" s="43">
        <v>28000.695813521976</v>
      </c>
      <c r="F1500" s="140">
        <v>2.9522978903454486</v>
      </c>
    </row>
    <row r="1501" spans="1:6">
      <c r="A1501" s="149" t="s">
        <v>2962</v>
      </c>
      <c r="B1501" s="144" t="s">
        <v>1557</v>
      </c>
      <c r="C1501" s="44">
        <v>15522</v>
      </c>
      <c r="D1501" s="153">
        <f t="shared" si="23"/>
        <v>0.97012500000000002</v>
      </c>
      <c r="E1501" s="43">
        <v>28000.695813521976</v>
      </c>
      <c r="F1501" s="140">
        <v>2.9522978903454486</v>
      </c>
    </row>
    <row r="1502" spans="1:6">
      <c r="A1502" s="149" t="s">
        <v>2962</v>
      </c>
      <c r="B1502" s="144" t="s">
        <v>1558</v>
      </c>
      <c r="C1502" s="44">
        <v>15522</v>
      </c>
      <c r="D1502" s="153">
        <f t="shared" si="23"/>
        <v>0.97012500000000002</v>
      </c>
      <c r="E1502" s="43">
        <v>28000.695813521976</v>
      </c>
      <c r="F1502" s="140">
        <v>2.9522978903454486</v>
      </c>
    </row>
    <row r="1503" spans="1:6">
      <c r="A1503" s="149" t="s">
        <v>2962</v>
      </c>
      <c r="B1503" s="144" t="s">
        <v>1559</v>
      </c>
      <c r="C1503" s="44">
        <v>15522</v>
      </c>
      <c r="D1503" s="153">
        <f t="shared" si="23"/>
        <v>0.97012500000000002</v>
      </c>
      <c r="E1503" s="43">
        <v>28000.695813521976</v>
      </c>
      <c r="F1503" s="140">
        <v>2.9522978903454486</v>
      </c>
    </row>
    <row r="1504" spans="1:6">
      <c r="A1504" s="149" t="s">
        <v>2962</v>
      </c>
      <c r="B1504" s="144" t="s">
        <v>1560</v>
      </c>
      <c r="C1504" s="44">
        <v>15522</v>
      </c>
      <c r="D1504" s="153">
        <f t="shared" si="23"/>
        <v>0.97012500000000002</v>
      </c>
      <c r="E1504" s="43">
        <v>28000.695813521976</v>
      </c>
      <c r="F1504" s="140">
        <v>2.9522978903454486</v>
      </c>
    </row>
    <row r="1505" spans="1:6">
      <c r="A1505" s="149" t="s">
        <v>2962</v>
      </c>
      <c r="B1505" s="144" t="s">
        <v>1561</v>
      </c>
      <c r="C1505" s="44">
        <v>15522</v>
      </c>
      <c r="D1505" s="153">
        <f t="shared" si="23"/>
        <v>0.97012500000000002</v>
      </c>
      <c r="E1505" s="43">
        <v>28000.695813521976</v>
      </c>
      <c r="F1505" s="140">
        <v>2.9522978903454486</v>
      </c>
    </row>
    <row r="1506" spans="1:6">
      <c r="A1506" s="149" t="s">
        <v>2962</v>
      </c>
      <c r="B1506" s="144" t="s">
        <v>1562</v>
      </c>
      <c r="C1506" s="44">
        <v>15522</v>
      </c>
      <c r="D1506" s="153">
        <f t="shared" si="23"/>
        <v>0.97012500000000002</v>
      </c>
      <c r="E1506" s="43">
        <v>28000.695813521976</v>
      </c>
      <c r="F1506" s="140">
        <v>2.9522978903454486</v>
      </c>
    </row>
    <row r="1507" spans="1:6">
      <c r="A1507" s="149" t="s">
        <v>2962</v>
      </c>
      <c r="B1507" s="144" t="s">
        <v>1563</v>
      </c>
      <c r="C1507" s="44">
        <v>15522</v>
      </c>
      <c r="D1507" s="153">
        <f t="shared" si="23"/>
        <v>0.97012500000000002</v>
      </c>
      <c r="E1507" s="43">
        <v>28000.695813521976</v>
      </c>
      <c r="F1507" s="140">
        <v>2.9522978903454486</v>
      </c>
    </row>
    <row r="1508" spans="1:6">
      <c r="A1508" s="149" t="s">
        <v>2962</v>
      </c>
      <c r="B1508" s="144" t="s">
        <v>1564</v>
      </c>
      <c r="C1508" s="44">
        <v>15522</v>
      </c>
      <c r="D1508" s="153">
        <f t="shared" si="23"/>
        <v>0.97012500000000002</v>
      </c>
      <c r="E1508" s="43">
        <v>28000.695813521976</v>
      </c>
      <c r="F1508" s="140">
        <v>2.9522978903454486</v>
      </c>
    </row>
    <row r="1509" spans="1:6">
      <c r="A1509" s="149" t="s">
        <v>2962</v>
      </c>
      <c r="B1509" s="144" t="s">
        <v>1565</v>
      </c>
      <c r="C1509" s="44">
        <v>15522</v>
      </c>
      <c r="D1509" s="153">
        <f t="shared" si="23"/>
        <v>0.97012500000000002</v>
      </c>
      <c r="E1509" s="43">
        <v>28000.695813521976</v>
      </c>
      <c r="F1509" s="140">
        <v>2.9522978903454486</v>
      </c>
    </row>
    <row r="1510" spans="1:6">
      <c r="A1510" s="149" t="s">
        <v>2962</v>
      </c>
      <c r="B1510" s="144" t="s">
        <v>1566</v>
      </c>
      <c r="C1510" s="44">
        <v>15522</v>
      </c>
      <c r="D1510" s="153">
        <f t="shared" si="23"/>
        <v>0.97012500000000002</v>
      </c>
      <c r="E1510" s="43">
        <v>28000.695813521976</v>
      </c>
      <c r="F1510" s="140">
        <v>2.9522978903454486</v>
      </c>
    </row>
    <row r="1511" spans="1:6">
      <c r="A1511" s="149" t="s">
        <v>2962</v>
      </c>
      <c r="B1511" s="144" t="s">
        <v>1567</v>
      </c>
      <c r="C1511" s="44">
        <v>15522</v>
      </c>
      <c r="D1511" s="153">
        <f t="shared" si="23"/>
        <v>0.97012500000000002</v>
      </c>
      <c r="E1511" s="43">
        <v>28000.695813521976</v>
      </c>
      <c r="F1511" s="140">
        <v>2.9522978903454486</v>
      </c>
    </row>
    <row r="1512" spans="1:6">
      <c r="A1512" s="149" t="s">
        <v>2962</v>
      </c>
      <c r="B1512" s="144" t="s">
        <v>1568</v>
      </c>
      <c r="C1512" s="44">
        <v>15522</v>
      </c>
      <c r="D1512" s="153">
        <f t="shared" si="23"/>
        <v>0.97012500000000002</v>
      </c>
      <c r="E1512" s="43">
        <v>28000.695813521976</v>
      </c>
      <c r="F1512" s="140">
        <v>2.9522978903454486</v>
      </c>
    </row>
    <row r="1513" spans="1:6">
      <c r="A1513" s="149" t="s">
        <v>2962</v>
      </c>
      <c r="B1513" s="144" t="s">
        <v>1569</v>
      </c>
      <c r="C1513" s="44">
        <v>15522</v>
      </c>
      <c r="D1513" s="153">
        <f t="shared" si="23"/>
        <v>0.97012500000000002</v>
      </c>
      <c r="E1513" s="43">
        <v>28000.695813521976</v>
      </c>
      <c r="F1513" s="140">
        <v>2.9522978903454486</v>
      </c>
    </row>
    <row r="1514" spans="1:6">
      <c r="A1514" s="149" t="s">
        <v>2962</v>
      </c>
      <c r="B1514" s="144" t="s">
        <v>1570</v>
      </c>
      <c r="C1514" s="44">
        <v>15522</v>
      </c>
      <c r="D1514" s="153">
        <f t="shared" si="23"/>
        <v>0.97012500000000002</v>
      </c>
      <c r="E1514" s="43">
        <v>28000.695813521976</v>
      </c>
      <c r="F1514" s="140">
        <v>2.9522978903454486</v>
      </c>
    </row>
    <row r="1515" spans="1:6">
      <c r="A1515" s="149" t="s">
        <v>2962</v>
      </c>
      <c r="B1515" s="144" t="s">
        <v>1571</v>
      </c>
      <c r="C1515" s="44">
        <v>15522</v>
      </c>
      <c r="D1515" s="153">
        <f t="shared" si="23"/>
        <v>0.97012500000000002</v>
      </c>
      <c r="E1515" s="43">
        <v>28000.695813521976</v>
      </c>
      <c r="F1515" s="140">
        <v>2.9522978903454486</v>
      </c>
    </row>
    <row r="1516" spans="1:6">
      <c r="A1516" s="149" t="s">
        <v>2962</v>
      </c>
      <c r="B1516" s="144" t="s">
        <v>1572</v>
      </c>
      <c r="C1516" s="44">
        <v>15522</v>
      </c>
      <c r="D1516" s="153">
        <f t="shared" si="23"/>
        <v>0.97012500000000002</v>
      </c>
      <c r="E1516" s="43">
        <v>28000.695813521976</v>
      </c>
      <c r="F1516" s="140">
        <v>2.9522978903454486</v>
      </c>
    </row>
    <row r="1517" spans="1:6">
      <c r="A1517" s="149" t="s">
        <v>2962</v>
      </c>
      <c r="B1517" s="144" t="s">
        <v>1573</v>
      </c>
      <c r="C1517" s="44">
        <v>15522</v>
      </c>
      <c r="D1517" s="153">
        <f t="shared" si="23"/>
        <v>0.97012500000000002</v>
      </c>
      <c r="E1517" s="43">
        <v>28000.695813521976</v>
      </c>
      <c r="F1517" s="140">
        <v>2.9522978903454486</v>
      </c>
    </row>
    <row r="1518" spans="1:6">
      <c r="A1518" s="149" t="s">
        <v>2962</v>
      </c>
      <c r="B1518" s="144" t="s">
        <v>1574</v>
      </c>
      <c r="C1518" s="44">
        <v>15522</v>
      </c>
      <c r="D1518" s="153">
        <f t="shared" si="23"/>
        <v>0.97012500000000002</v>
      </c>
      <c r="E1518" s="43">
        <v>28000.695813521976</v>
      </c>
      <c r="F1518" s="140">
        <v>2.9522978903454486</v>
      </c>
    </row>
    <row r="1519" spans="1:6">
      <c r="A1519" s="149" t="s">
        <v>2962</v>
      </c>
      <c r="B1519" s="144" t="s">
        <v>1575</v>
      </c>
      <c r="C1519" s="44">
        <v>15522</v>
      </c>
      <c r="D1519" s="153">
        <f t="shared" si="23"/>
        <v>0.97012500000000002</v>
      </c>
      <c r="E1519" s="43">
        <v>28000.695813521976</v>
      </c>
      <c r="F1519" s="140">
        <v>2.9522978903454486</v>
      </c>
    </row>
    <row r="1520" spans="1:6">
      <c r="A1520" s="149" t="s">
        <v>2962</v>
      </c>
      <c r="B1520" s="144" t="s">
        <v>1576</v>
      </c>
      <c r="C1520" s="44">
        <v>15522</v>
      </c>
      <c r="D1520" s="153">
        <f t="shared" si="23"/>
        <v>0.97012500000000002</v>
      </c>
      <c r="E1520" s="43">
        <v>28000.695813521976</v>
      </c>
      <c r="F1520" s="140">
        <v>2.9522978903454486</v>
      </c>
    </row>
    <row r="1521" spans="1:6">
      <c r="A1521" s="149" t="s">
        <v>2962</v>
      </c>
      <c r="B1521" s="144" t="s">
        <v>1577</v>
      </c>
      <c r="C1521" s="44">
        <v>15522</v>
      </c>
      <c r="D1521" s="153">
        <f t="shared" si="23"/>
        <v>0.97012500000000002</v>
      </c>
      <c r="E1521" s="43">
        <v>28000.695813521976</v>
      </c>
      <c r="F1521" s="140">
        <v>2.9522978903454486</v>
      </c>
    </row>
    <row r="1522" spans="1:6">
      <c r="A1522" s="149" t="s">
        <v>2962</v>
      </c>
      <c r="B1522" s="144" t="s">
        <v>1578</v>
      </c>
      <c r="C1522" s="44">
        <v>15522</v>
      </c>
      <c r="D1522" s="153">
        <f t="shared" si="23"/>
        <v>0.97012500000000002</v>
      </c>
      <c r="E1522" s="43">
        <v>28000.695813521976</v>
      </c>
      <c r="F1522" s="140">
        <v>2.9522978903454486</v>
      </c>
    </row>
    <row r="1523" spans="1:6">
      <c r="A1523" s="149" t="s">
        <v>2962</v>
      </c>
      <c r="B1523" s="144" t="s">
        <v>1579</v>
      </c>
      <c r="C1523" s="44">
        <v>15522</v>
      </c>
      <c r="D1523" s="153">
        <f t="shared" si="23"/>
        <v>0.97012500000000002</v>
      </c>
      <c r="E1523" s="43">
        <v>28000.695813521976</v>
      </c>
      <c r="F1523" s="140">
        <v>2.9522978903454486</v>
      </c>
    </row>
    <row r="1524" spans="1:6">
      <c r="A1524" s="149" t="s">
        <v>2962</v>
      </c>
      <c r="B1524" s="144" t="s">
        <v>1580</v>
      </c>
      <c r="C1524" s="44">
        <v>15522</v>
      </c>
      <c r="D1524" s="153">
        <f t="shared" si="23"/>
        <v>0.97012500000000002</v>
      </c>
      <c r="E1524" s="43">
        <v>28000.695813521976</v>
      </c>
      <c r="F1524" s="140">
        <v>2.9522978903454486</v>
      </c>
    </row>
    <row r="1525" spans="1:6">
      <c r="A1525" s="149" t="s">
        <v>2962</v>
      </c>
      <c r="B1525" s="144" t="s">
        <v>1581</v>
      </c>
      <c r="C1525" s="44">
        <v>15522</v>
      </c>
      <c r="D1525" s="153">
        <f t="shared" si="23"/>
        <v>0.97012500000000002</v>
      </c>
      <c r="E1525" s="43">
        <v>28000.695813521976</v>
      </c>
      <c r="F1525" s="140">
        <v>2.9522978903454486</v>
      </c>
    </row>
    <row r="1526" spans="1:6">
      <c r="A1526" s="149" t="s">
        <v>2962</v>
      </c>
      <c r="B1526" s="144" t="s">
        <v>1582</v>
      </c>
      <c r="C1526" s="44">
        <v>15522</v>
      </c>
      <c r="D1526" s="153">
        <f t="shared" si="23"/>
        <v>0.97012500000000002</v>
      </c>
      <c r="E1526" s="43">
        <v>28000.695813521976</v>
      </c>
      <c r="F1526" s="140">
        <v>2.9522978903454486</v>
      </c>
    </row>
    <row r="1527" spans="1:6">
      <c r="A1527" s="149" t="s">
        <v>2962</v>
      </c>
      <c r="B1527" s="144" t="s">
        <v>1583</v>
      </c>
      <c r="C1527" s="44">
        <v>15522</v>
      </c>
      <c r="D1527" s="153">
        <f t="shared" si="23"/>
        <v>0.97012500000000002</v>
      </c>
      <c r="E1527" s="43">
        <v>28000.695813521976</v>
      </c>
      <c r="F1527" s="140">
        <v>2.9522978903454486</v>
      </c>
    </row>
    <row r="1528" spans="1:6">
      <c r="A1528" s="149" t="s">
        <v>2962</v>
      </c>
      <c r="B1528" s="144" t="s">
        <v>1584</v>
      </c>
      <c r="C1528" s="44">
        <v>15522</v>
      </c>
      <c r="D1528" s="153">
        <f t="shared" si="23"/>
        <v>0.97012500000000002</v>
      </c>
      <c r="E1528" s="43">
        <v>28000.695813521976</v>
      </c>
      <c r="F1528" s="140">
        <v>2.9522978903454486</v>
      </c>
    </row>
    <row r="1529" spans="1:6">
      <c r="A1529" s="149" t="s">
        <v>2962</v>
      </c>
      <c r="B1529" s="144" t="s">
        <v>1585</v>
      </c>
      <c r="C1529" s="44">
        <v>15522</v>
      </c>
      <c r="D1529" s="153">
        <f t="shared" si="23"/>
        <v>0.97012500000000002</v>
      </c>
      <c r="E1529" s="43">
        <v>28000.695813521976</v>
      </c>
      <c r="F1529" s="140">
        <v>2.9522978903454486</v>
      </c>
    </row>
    <row r="1530" spans="1:6">
      <c r="A1530" s="149" t="s">
        <v>2962</v>
      </c>
      <c r="B1530" s="144" t="s">
        <v>1586</v>
      </c>
      <c r="C1530" s="44">
        <v>15522</v>
      </c>
      <c r="D1530" s="153">
        <f t="shared" si="23"/>
        <v>0.97012500000000002</v>
      </c>
      <c r="E1530" s="43">
        <v>28000.695813521976</v>
      </c>
      <c r="F1530" s="140">
        <v>2.9522978903454486</v>
      </c>
    </row>
    <row r="1531" spans="1:6">
      <c r="A1531" s="149" t="s">
        <v>2962</v>
      </c>
      <c r="B1531" s="144" t="s">
        <v>1587</v>
      </c>
      <c r="C1531" s="44">
        <v>15522</v>
      </c>
      <c r="D1531" s="153">
        <f t="shared" si="23"/>
        <v>0.97012500000000002</v>
      </c>
      <c r="E1531" s="43">
        <v>28000.695813521976</v>
      </c>
      <c r="F1531" s="140">
        <v>2.9522978903454486</v>
      </c>
    </row>
    <row r="1532" spans="1:6">
      <c r="A1532" s="149" t="s">
        <v>2962</v>
      </c>
      <c r="B1532" s="144" t="s">
        <v>1588</v>
      </c>
      <c r="C1532" s="44">
        <v>15522</v>
      </c>
      <c r="D1532" s="153">
        <f t="shared" si="23"/>
        <v>0.97012500000000002</v>
      </c>
      <c r="E1532" s="43">
        <v>28000.695813521976</v>
      </c>
      <c r="F1532" s="140">
        <v>2.9522978903454486</v>
      </c>
    </row>
    <row r="1533" spans="1:6">
      <c r="A1533" s="149" t="s">
        <v>2962</v>
      </c>
      <c r="B1533" s="144" t="s">
        <v>1589</v>
      </c>
      <c r="C1533" s="44">
        <v>15522</v>
      </c>
      <c r="D1533" s="153">
        <f t="shared" si="23"/>
        <v>0.97012500000000002</v>
      </c>
      <c r="E1533" s="43">
        <v>28000.695813521976</v>
      </c>
      <c r="F1533" s="140">
        <v>2.9522978903454486</v>
      </c>
    </row>
    <row r="1534" spans="1:6">
      <c r="A1534" s="149" t="s">
        <v>2962</v>
      </c>
      <c r="B1534" s="144" t="s">
        <v>1590</v>
      </c>
      <c r="C1534" s="44">
        <v>15522</v>
      </c>
      <c r="D1534" s="153">
        <f t="shared" si="23"/>
        <v>0.97012500000000002</v>
      </c>
      <c r="E1534" s="43">
        <v>28000.695813521976</v>
      </c>
      <c r="F1534" s="140">
        <v>2.9522978903454486</v>
      </c>
    </row>
    <row r="1535" spans="1:6">
      <c r="A1535" s="149" t="s">
        <v>2962</v>
      </c>
      <c r="B1535" s="144" t="s">
        <v>1591</v>
      </c>
      <c r="C1535" s="44">
        <v>15522</v>
      </c>
      <c r="D1535" s="153">
        <f t="shared" si="23"/>
        <v>0.97012500000000002</v>
      </c>
      <c r="E1535" s="43">
        <v>28000.695813521976</v>
      </c>
      <c r="F1535" s="140">
        <v>2.9522978903454486</v>
      </c>
    </row>
    <row r="1536" spans="1:6">
      <c r="A1536" s="149" t="s">
        <v>2962</v>
      </c>
      <c r="B1536" s="144" t="s">
        <v>1592</v>
      </c>
      <c r="C1536" s="44">
        <v>15522</v>
      </c>
      <c r="D1536" s="153">
        <f t="shared" si="23"/>
        <v>0.97012500000000002</v>
      </c>
      <c r="E1536" s="43">
        <v>28000.695813521976</v>
      </c>
      <c r="F1536" s="140">
        <v>2.9522978903454486</v>
      </c>
    </row>
    <row r="1537" spans="1:6">
      <c r="A1537" s="149" t="s">
        <v>2962</v>
      </c>
      <c r="B1537" s="144" t="s">
        <v>1593</v>
      </c>
      <c r="C1537" s="44">
        <v>15522</v>
      </c>
      <c r="D1537" s="153">
        <f t="shared" si="23"/>
        <v>0.97012500000000002</v>
      </c>
      <c r="E1537" s="43">
        <v>28000.695813521976</v>
      </c>
      <c r="F1537" s="140">
        <v>2.9522978903454486</v>
      </c>
    </row>
    <row r="1538" spans="1:6">
      <c r="A1538" s="149" t="s">
        <v>2962</v>
      </c>
      <c r="B1538" s="144" t="s">
        <v>1594</v>
      </c>
      <c r="C1538" s="44">
        <v>15522</v>
      </c>
      <c r="D1538" s="153">
        <f t="shared" si="23"/>
        <v>0.97012500000000002</v>
      </c>
      <c r="E1538" s="43">
        <v>28000.695813521976</v>
      </c>
      <c r="F1538" s="140">
        <v>2.9522978903454486</v>
      </c>
    </row>
    <row r="1539" spans="1:6">
      <c r="A1539" s="149" t="s">
        <v>2962</v>
      </c>
      <c r="B1539" s="144" t="s">
        <v>1595</v>
      </c>
      <c r="C1539" s="44">
        <v>15522</v>
      </c>
      <c r="D1539" s="153">
        <f t="shared" si="23"/>
        <v>0.97012500000000002</v>
      </c>
      <c r="E1539" s="43">
        <v>28000.695813521976</v>
      </c>
      <c r="F1539" s="140">
        <v>2.9522978903454486</v>
      </c>
    </row>
    <row r="1540" spans="1:6">
      <c r="A1540" s="149" t="s">
        <v>2962</v>
      </c>
      <c r="B1540" s="144" t="s">
        <v>1596</v>
      </c>
      <c r="C1540" s="44">
        <v>15522</v>
      </c>
      <c r="D1540" s="153">
        <f t="shared" si="23"/>
        <v>0.97012500000000002</v>
      </c>
      <c r="E1540" s="43">
        <v>28000.695813521976</v>
      </c>
      <c r="F1540" s="140">
        <v>2.9522978903454486</v>
      </c>
    </row>
    <row r="1541" spans="1:6">
      <c r="A1541" s="149" t="s">
        <v>2962</v>
      </c>
      <c r="B1541" s="144" t="s">
        <v>1597</v>
      </c>
      <c r="C1541" s="44">
        <v>15521</v>
      </c>
      <c r="D1541" s="153">
        <f t="shared" si="23"/>
        <v>0.97006250000000005</v>
      </c>
      <c r="E1541" s="43">
        <v>27998.492491447789</v>
      </c>
      <c r="F1541" s="140">
        <v>2.9538692434242648</v>
      </c>
    </row>
    <row r="1542" spans="1:6">
      <c r="A1542" s="149" t="s">
        <v>2962</v>
      </c>
      <c r="B1542" s="144" t="s">
        <v>1598</v>
      </c>
      <c r="C1542" s="44">
        <v>15521</v>
      </c>
      <c r="D1542" s="153">
        <f t="shared" si="23"/>
        <v>0.97006250000000005</v>
      </c>
      <c r="E1542" s="43">
        <v>27998.492491447789</v>
      </c>
      <c r="F1542" s="140">
        <v>2.9538692434242648</v>
      </c>
    </row>
    <row r="1543" spans="1:6">
      <c r="A1543" s="149" t="s">
        <v>2962</v>
      </c>
      <c r="B1543" s="144" t="s">
        <v>1599</v>
      </c>
      <c r="C1543" s="44">
        <v>15520</v>
      </c>
      <c r="D1543" s="153">
        <f t="shared" ref="D1543:D1606" si="24">C1543/32768*4.096/2</f>
        <v>0.97</v>
      </c>
      <c r="E1543" s="43">
        <v>27996.289424860854</v>
      </c>
      <c r="F1543" s="140">
        <v>2.9554405533239105</v>
      </c>
    </row>
    <row r="1544" spans="1:6">
      <c r="A1544" s="149" t="s">
        <v>2962</v>
      </c>
      <c r="B1544" s="144" t="s">
        <v>1600</v>
      </c>
      <c r="C1544" s="44">
        <v>15518</v>
      </c>
      <c r="D1544" s="153">
        <f t="shared" si="24"/>
        <v>0.96987500000000004</v>
      </c>
      <c r="E1544" s="43">
        <v>27991.884057971016</v>
      </c>
      <c r="F1544" s="140">
        <v>2.9585830436124638</v>
      </c>
    </row>
    <row r="1545" spans="1:6">
      <c r="A1545" s="149" t="s">
        <v>2962</v>
      </c>
      <c r="B1545" s="144" t="s">
        <v>1601</v>
      </c>
      <c r="C1545" s="44">
        <v>15515</v>
      </c>
      <c r="D1545" s="153">
        <f t="shared" si="24"/>
        <v>0.96968750000000004</v>
      </c>
      <c r="E1545" s="43">
        <v>27985.277922680114</v>
      </c>
      <c r="F1545" s="140">
        <v>2.9632964553679813</v>
      </c>
    </row>
    <row r="1546" spans="1:6">
      <c r="A1546" s="149" t="s">
        <v>2962</v>
      </c>
      <c r="B1546" s="144" t="s">
        <v>1602</v>
      </c>
      <c r="C1546" s="44">
        <v>15511</v>
      </c>
      <c r="D1546" s="153">
        <f t="shared" si="24"/>
        <v>0.96943750000000006</v>
      </c>
      <c r="E1546" s="43">
        <v>27976.473315176449</v>
      </c>
      <c r="F1546" s="140">
        <v>2.9695804004570618</v>
      </c>
    </row>
    <row r="1547" spans="1:6">
      <c r="A1547" s="149" t="s">
        <v>2962</v>
      </c>
      <c r="B1547" s="144" t="s">
        <v>1603</v>
      </c>
      <c r="C1547" s="44">
        <v>15506</v>
      </c>
      <c r="D1547" s="153">
        <f t="shared" si="24"/>
        <v>0.96912500000000001</v>
      </c>
      <c r="E1547" s="43">
        <v>27965.473293940446</v>
      </c>
      <c r="F1547" s="140">
        <v>2.9774343618341277</v>
      </c>
    </row>
    <row r="1548" spans="1:6">
      <c r="A1548" s="149" t="s">
        <v>2962</v>
      </c>
      <c r="B1548" s="144" t="s">
        <v>1604</v>
      </c>
      <c r="C1548" s="44">
        <v>15501</v>
      </c>
      <c r="D1548" s="153">
        <f t="shared" si="24"/>
        <v>0.96881249999999997</v>
      </c>
      <c r="E1548" s="43">
        <v>27954.479643250132</v>
      </c>
      <c r="F1548" s="140">
        <v>2.985287246225937</v>
      </c>
    </row>
    <row r="1549" spans="1:6">
      <c r="A1549" s="149" t="s">
        <v>2962</v>
      </c>
      <c r="B1549" s="144" t="s">
        <v>1605</v>
      </c>
      <c r="C1549" s="44">
        <v>15494</v>
      </c>
      <c r="D1549" s="153">
        <f t="shared" si="24"/>
        <v>0.96837499999999999</v>
      </c>
      <c r="E1549" s="43">
        <v>27939.099224267684</v>
      </c>
      <c r="F1549" s="140">
        <v>2.9962794766199181</v>
      </c>
    </row>
    <row r="1550" spans="1:6">
      <c r="A1550" s="149" t="s">
        <v>2962</v>
      </c>
      <c r="B1550" s="144" t="s">
        <v>1606</v>
      </c>
      <c r="C1550" s="44">
        <v>15486</v>
      </c>
      <c r="D1550" s="153">
        <f t="shared" si="24"/>
        <v>0.96787500000000004</v>
      </c>
      <c r="E1550" s="43">
        <v>27921.53685915982</v>
      </c>
      <c r="F1550" s="140">
        <v>3.0088394457884533</v>
      </c>
    </row>
    <row r="1551" spans="1:6">
      <c r="A1551" s="149" t="s">
        <v>2962</v>
      </c>
      <c r="B1551" s="144" t="s">
        <v>1607</v>
      </c>
      <c r="C1551" s="44">
        <v>15477</v>
      </c>
      <c r="D1551" s="153">
        <f t="shared" si="24"/>
        <v>0.96731250000000002</v>
      </c>
      <c r="E1551" s="43">
        <v>27901.79862356139</v>
      </c>
      <c r="F1551" s="140">
        <v>3.0229661258456417</v>
      </c>
    </row>
    <row r="1552" spans="1:6">
      <c r="A1552" s="149" t="s">
        <v>2962</v>
      </c>
      <c r="B1552" s="144" t="s">
        <v>1608</v>
      </c>
      <c r="C1552" s="44">
        <v>15468</v>
      </c>
      <c r="D1552" s="153">
        <f t="shared" si="24"/>
        <v>0.96675</v>
      </c>
      <c r="E1552" s="43">
        <v>27882.080924855491</v>
      </c>
      <c r="F1552" s="140">
        <v>3.0370893320414325</v>
      </c>
    </row>
    <row r="1553" spans="1:6">
      <c r="A1553" s="149" t="s">
        <v>2962</v>
      </c>
      <c r="B1553" s="144" t="s">
        <v>1609</v>
      </c>
      <c r="C1553" s="44">
        <v>15457</v>
      </c>
      <c r="D1553" s="153">
        <f t="shared" si="24"/>
        <v>0.96606250000000005</v>
      </c>
      <c r="E1553" s="43">
        <v>27858.009358211541</v>
      </c>
      <c r="F1553" s="140">
        <v>3.0543463179411106</v>
      </c>
    </row>
    <row r="1554" spans="1:6">
      <c r="A1554" s="149" t="s">
        <v>2962</v>
      </c>
      <c r="B1554" s="144" t="s">
        <v>1610</v>
      </c>
      <c r="C1554" s="44">
        <v>15446</v>
      </c>
      <c r="D1554" s="153">
        <f t="shared" si="24"/>
        <v>0.96537499999999998</v>
      </c>
      <c r="E1554" s="43">
        <v>27833.968363930264</v>
      </c>
      <c r="F1554" s="140">
        <v>3.0715981304743423</v>
      </c>
    </row>
    <row r="1555" spans="1:6">
      <c r="A1555" s="149" t="s">
        <v>2962</v>
      </c>
      <c r="B1555" s="144" t="s">
        <v>1611</v>
      </c>
      <c r="C1555" s="44">
        <v>15434</v>
      </c>
      <c r="D1555" s="153">
        <f t="shared" si="24"/>
        <v>0.96462500000000007</v>
      </c>
      <c r="E1555" s="43">
        <v>27807.776623976002</v>
      </c>
      <c r="F1555" s="140">
        <v>3.0904123997035526</v>
      </c>
    </row>
    <row r="1556" spans="1:6">
      <c r="A1556" s="149" t="s">
        <v>2962</v>
      </c>
      <c r="B1556" s="144" t="s">
        <v>1612</v>
      </c>
      <c r="C1556" s="44">
        <v>15422</v>
      </c>
      <c r="D1556" s="153">
        <f t="shared" si="24"/>
        <v>0.96387500000000004</v>
      </c>
      <c r="E1556" s="43">
        <v>27781.621123025481</v>
      </c>
      <c r="F1556" s="140">
        <v>3.1092205340028727</v>
      </c>
    </row>
    <row r="1557" spans="1:6">
      <c r="A1557" s="149" t="s">
        <v>2962</v>
      </c>
      <c r="B1557" s="144" t="s">
        <v>1613</v>
      </c>
      <c r="C1557" s="44">
        <v>15408</v>
      </c>
      <c r="D1557" s="153">
        <f t="shared" si="24"/>
        <v>0.96299999999999997</v>
      </c>
      <c r="E1557" s="43">
        <v>27751.152073732719</v>
      </c>
      <c r="F1557" s="140">
        <v>3.1311556186183793</v>
      </c>
    </row>
    <row r="1558" spans="1:6">
      <c r="A1558" s="149" t="s">
        <v>2962</v>
      </c>
      <c r="B1558" s="144" t="s">
        <v>1614</v>
      </c>
      <c r="C1558" s="44">
        <v>15394</v>
      </c>
      <c r="D1558" s="153">
        <f t="shared" si="24"/>
        <v>0.96212500000000001</v>
      </c>
      <c r="E1558" s="43">
        <v>27720.732128467826</v>
      </c>
      <c r="F1558" s="140">
        <v>3.1530823863382693</v>
      </c>
    </row>
    <row r="1559" spans="1:6">
      <c r="A1559" s="149" t="s">
        <v>2962</v>
      </c>
      <c r="B1559" s="144" t="s">
        <v>1615</v>
      </c>
      <c r="C1559" s="44">
        <v>15379</v>
      </c>
      <c r="D1559" s="153">
        <f t="shared" si="24"/>
        <v>0.96118749999999997</v>
      </c>
      <c r="E1559" s="43">
        <v>27688.193685663351</v>
      </c>
      <c r="F1559" s="140">
        <v>3.176566142931847</v>
      </c>
    </row>
    <row r="1560" spans="1:6">
      <c r="A1560" s="149" t="s">
        <v>2962</v>
      </c>
      <c r="B1560" s="144" t="s">
        <v>1616</v>
      </c>
      <c r="C1560" s="44">
        <v>15365</v>
      </c>
      <c r="D1560" s="153">
        <f t="shared" si="24"/>
        <v>0.96031250000000001</v>
      </c>
      <c r="E1560" s="43">
        <v>27657.875079009365</v>
      </c>
      <c r="F1560" s="140">
        <v>3.1984757398412853</v>
      </c>
    </row>
    <row r="1561" spans="1:6">
      <c r="A1561" s="149" t="s">
        <v>2962</v>
      </c>
      <c r="B1561" s="144" t="s">
        <v>1617</v>
      </c>
      <c r="C1561" s="44">
        <v>15350</v>
      </c>
      <c r="D1561" s="153">
        <f t="shared" si="24"/>
        <v>0.95937499999999998</v>
      </c>
      <c r="E1561" s="43">
        <v>27625.444942014008</v>
      </c>
      <c r="F1561" s="140">
        <v>3.2219411402553533</v>
      </c>
    </row>
    <row r="1562" spans="1:6">
      <c r="A1562" s="149" t="s">
        <v>2962</v>
      </c>
      <c r="B1562" s="144" t="s">
        <v>1618</v>
      </c>
      <c r="C1562" s="44">
        <v>15335</v>
      </c>
      <c r="D1562" s="153">
        <f t="shared" si="24"/>
        <v>0.95843750000000005</v>
      </c>
      <c r="E1562" s="43">
        <v>27593.07061320484</v>
      </c>
      <c r="F1562" s="140">
        <v>3.2453970782809733</v>
      </c>
    </row>
    <row r="1563" spans="1:6">
      <c r="A1563" s="149" t="s">
        <v>2962</v>
      </c>
      <c r="B1563" s="144" t="s">
        <v>1619</v>
      </c>
      <c r="C1563" s="44">
        <v>15320</v>
      </c>
      <c r="D1563" s="153">
        <f t="shared" si="24"/>
        <v>0.95750000000000002</v>
      </c>
      <c r="E1563" s="43">
        <v>27560.751948647408</v>
      </c>
      <c r="F1563" s="140">
        <v>3.2688435758001901</v>
      </c>
    </row>
    <row r="1564" spans="1:6">
      <c r="A1564" s="149" t="s">
        <v>2962</v>
      </c>
      <c r="B1564" s="144" t="s">
        <v>1620</v>
      </c>
      <c r="C1564" s="44">
        <v>15305</v>
      </c>
      <c r="D1564" s="153">
        <f t="shared" si="24"/>
        <v>0.95656249999999998</v>
      </c>
      <c r="E1564" s="43">
        <v>27528.488804901794</v>
      </c>
      <c r="F1564" s="140">
        <v>3.2922806546470724</v>
      </c>
    </row>
    <row r="1565" spans="1:6">
      <c r="A1565" s="149" t="s">
        <v>2962</v>
      </c>
      <c r="B1565" s="144" t="s">
        <v>1621</v>
      </c>
      <c r="C1565" s="44">
        <v>15290</v>
      </c>
      <c r="D1565" s="153">
        <f t="shared" si="24"/>
        <v>0.95562500000000006</v>
      </c>
      <c r="E1565" s="43">
        <v>27496.281039020483</v>
      </c>
      <c r="F1565" s="140">
        <v>3.3157083366068605</v>
      </c>
    </row>
    <row r="1566" spans="1:6">
      <c r="A1566" s="149" t="s">
        <v>2962</v>
      </c>
      <c r="B1566" s="144" t="s">
        <v>1622</v>
      </c>
      <c r="C1566" s="44">
        <v>15276</v>
      </c>
      <c r="D1566" s="153">
        <f t="shared" si="24"/>
        <v>0.95474999999999999</v>
      </c>
      <c r="E1566" s="43">
        <v>27466.270294991995</v>
      </c>
      <c r="F1566" s="140">
        <v>3.337565714199684</v>
      </c>
    </row>
    <row r="1567" spans="1:6">
      <c r="A1567" s="149" t="s">
        <v>2962</v>
      </c>
      <c r="B1567" s="144" t="s">
        <v>1623</v>
      </c>
      <c r="C1567" s="44">
        <v>15261</v>
      </c>
      <c r="D1567" s="153">
        <f t="shared" si="24"/>
        <v>0.95381250000000006</v>
      </c>
      <c r="E1567" s="43">
        <v>27434.169189467069</v>
      </c>
      <c r="F1567" s="140">
        <v>3.360975290441047</v>
      </c>
    </row>
    <row r="1568" spans="1:6">
      <c r="A1568" s="149" t="s">
        <v>2962</v>
      </c>
      <c r="B1568" s="144" t="s">
        <v>1624</v>
      </c>
      <c r="C1568" s="44">
        <v>15247</v>
      </c>
      <c r="D1568" s="153">
        <f t="shared" si="24"/>
        <v>0.95293749999999999</v>
      </c>
      <c r="E1568" s="43">
        <v>27404.257747845444</v>
      </c>
      <c r="F1568" s="140">
        <v>3.3828158071597159</v>
      </c>
    </row>
    <row r="1569" spans="1:6">
      <c r="A1569" s="149" t="s">
        <v>2962</v>
      </c>
      <c r="B1569" s="144" t="s">
        <v>1625</v>
      </c>
      <c r="C1569" s="44">
        <v>15234</v>
      </c>
      <c r="D1569" s="153">
        <f t="shared" si="24"/>
        <v>0.952125</v>
      </c>
      <c r="E1569" s="43">
        <v>27376.525607391355</v>
      </c>
      <c r="F1569" s="140">
        <v>3.403089022379163</v>
      </c>
    </row>
    <row r="1570" spans="1:6">
      <c r="A1570" s="149" t="s">
        <v>2962</v>
      </c>
      <c r="B1570" s="144" t="s">
        <v>1626</v>
      </c>
      <c r="C1570" s="44">
        <v>15220</v>
      </c>
      <c r="D1570" s="153">
        <f t="shared" si="24"/>
        <v>0.95125000000000004</v>
      </c>
      <c r="E1570" s="43">
        <v>27346.706177342148</v>
      </c>
      <c r="F1570" s="140">
        <v>3.4249139087851859</v>
      </c>
    </row>
    <row r="1571" spans="1:6">
      <c r="A1571" s="149" t="s">
        <v>2962</v>
      </c>
      <c r="B1571" s="144" t="s">
        <v>1627</v>
      </c>
      <c r="C1571" s="44">
        <v>15208</v>
      </c>
      <c r="D1571" s="153">
        <f t="shared" si="24"/>
        <v>0.95050000000000001</v>
      </c>
      <c r="E1571" s="43">
        <v>27321.184510250569</v>
      </c>
      <c r="F1571" s="140">
        <v>3.4436145234077458</v>
      </c>
    </row>
    <row r="1572" spans="1:6">
      <c r="A1572" s="149" t="s">
        <v>2962</v>
      </c>
      <c r="B1572" s="144" t="s">
        <v>1628</v>
      </c>
      <c r="C1572" s="44">
        <v>15195</v>
      </c>
      <c r="D1572" s="153">
        <f t="shared" si="24"/>
        <v>0.94968750000000002</v>
      </c>
      <c r="E1572" s="43">
        <v>27293.575371308256</v>
      </c>
      <c r="F1572" s="140">
        <v>3.4638668372024881</v>
      </c>
    </row>
    <row r="1573" spans="1:6">
      <c r="A1573" s="149" t="s">
        <v>2962</v>
      </c>
      <c r="B1573" s="144" t="s">
        <v>1629</v>
      </c>
      <c r="C1573" s="44">
        <v>15183</v>
      </c>
      <c r="D1573" s="153">
        <f t="shared" si="24"/>
        <v>0.94893749999999999</v>
      </c>
      <c r="E1573" s="43">
        <v>27268.126243957919</v>
      </c>
      <c r="F1573" s="140">
        <v>3.4825551213347694</v>
      </c>
    </row>
    <row r="1574" spans="1:6">
      <c r="A1574" s="149" t="s">
        <v>2962</v>
      </c>
      <c r="B1574" s="144" t="s">
        <v>1630</v>
      </c>
      <c r="C1574" s="44">
        <v>15171</v>
      </c>
      <c r="D1574" s="153">
        <f t="shared" si="24"/>
        <v>0.94818750000000007</v>
      </c>
      <c r="E1574" s="43">
        <v>27242.711825879411</v>
      </c>
      <c r="F1574" s="140">
        <v>3.5012375037305219</v>
      </c>
    </row>
    <row r="1575" spans="1:6">
      <c r="A1575" s="149" t="s">
        <v>2962</v>
      </c>
      <c r="B1575" s="144" t="s">
        <v>1631</v>
      </c>
      <c r="C1575" s="44">
        <v>15160</v>
      </c>
      <c r="D1575" s="153">
        <f t="shared" si="24"/>
        <v>0.94750000000000001</v>
      </c>
      <c r="E1575" s="43">
        <v>27219.445706497048</v>
      </c>
      <c r="F1575" s="140">
        <v>3.5183578457550198</v>
      </c>
    </row>
    <row r="1576" spans="1:6">
      <c r="A1576" s="149" t="s">
        <v>2962</v>
      </c>
      <c r="B1576" s="144" t="s">
        <v>1632</v>
      </c>
      <c r="C1576" s="44">
        <v>15150</v>
      </c>
      <c r="D1576" s="153">
        <f t="shared" si="24"/>
        <v>0.94687500000000002</v>
      </c>
      <c r="E1576" s="43">
        <v>27198.319900102168</v>
      </c>
      <c r="F1576" s="140">
        <v>3.5339175047505478</v>
      </c>
    </row>
    <row r="1577" spans="1:6">
      <c r="A1577" s="149" t="s">
        <v>2962</v>
      </c>
      <c r="B1577" s="144" t="s">
        <v>1633</v>
      </c>
      <c r="C1577" s="44">
        <v>15139</v>
      </c>
      <c r="D1577" s="153">
        <f t="shared" si="24"/>
        <v>0.94618750000000007</v>
      </c>
      <c r="E1577" s="43">
        <v>27175.109195076293</v>
      </c>
      <c r="F1577" s="140">
        <v>3.5510284202879348</v>
      </c>
    </row>
    <row r="1578" spans="1:6">
      <c r="A1578" s="149" t="s">
        <v>2962</v>
      </c>
      <c r="B1578" s="144" t="s">
        <v>1634</v>
      </c>
      <c r="C1578" s="44">
        <v>15129</v>
      </c>
      <c r="D1578" s="153">
        <f t="shared" si="24"/>
        <v>0.94556249999999997</v>
      </c>
      <c r="E1578" s="43">
        <v>27154.033675378421</v>
      </c>
      <c r="F1578" s="140">
        <v>3.566579523648727</v>
      </c>
    </row>
    <row r="1579" spans="1:6">
      <c r="A1579" s="149" t="s">
        <v>2962</v>
      </c>
      <c r="B1579" s="144" t="s">
        <v>1635</v>
      </c>
      <c r="C1579" s="44">
        <v>15119</v>
      </c>
      <c r="D1579" s="153">
        <f t="shared" si="24"/>
        <v>0.94493749999999999</v>
      </c>
      <c r="E1579" s="43">
        <v>27132.982038642414</v>
      </c>
      <c r="F1579" s="140">
        <v>3.5821265626509557</v>
      </c>
    </row>
    <row r="1580" spans="1:6">
      <c r="A1580" s="149" t="s">
        <v>2962</v>
      </c>
      <c r="B1580" s="144" t="s">
        <v>1636</v>
      </c>
      <c r="C1580" s="44">
        <v>15110</v>
      </c>
      <c r="D1580" s="153">
        <f t="shared" si="24"/>
        <v>0.94437499999999996</v>
      </c>
      <c r="E1580" s="43">
        <v>27114.055951976443</v>
      </c>
      <c r="F1580" s="140">
        <v>3.5961154279168568</v>
      </c>
    </row>
    <row r="1581" spans="1:6">
      <c r="A1581" s="149" t="s">
        <v>2962</v>
      </c>
      <c r="B1581" s="144" t="s">
        <v>1637</v>
      </c>
      <c r="C1581" s="44">
        <v>15102</v>
      </c>
      <c r="D1581" s="153">
        <f t="shared" si="24"/>
        <v>0.94387500000000002</v>
      </c>
      <c r="E1581" s="43">
        <v>27097.248952790673</v>
      </c>
      <c r="F1581" s="140">
        <v>3.6085472190225119</v>
      </c>
    </row>
    <row r="1582" spans="1:6">
      <c r="A1582" s="149" t="s">
        <v>2962</v>
      </c>
      <c r="B1582" s="144" t="s">
        <v>1638</v>
      </c>
      <c r="C1582" s="44">
        <v>15093</v>
      </c>
      <c r="D1582" s="153">
        <f t="shared" si="24"/>
        <v>0.9433125</v>
      </c>
      <c r="E1582" s="43">
        <v>27078.359264497878</v>
      </c>
      <c r="F1582" s="140">
        <v>3.6225298878968601</v>
      </c>
    </row>
    <row r="1583" spans="1:6">
      <c r="A1583" s="149" t="s">
        <v>2962</v>
      </c>
      <c r="B1583" s="144" t="s">
        <v>1639</v>
      </c>
      <c r="C1583" s="44">
        <v>15085</v>
      </c>
      <c r="D1583" s="153">
        <f t="shared" si="24"/>
        <v>0.94281250000000005</v>
      </c>
      <c r="E1583" s="43">
        <v>27061.584572753491</v>
      </c>
      <c r="F1583" s="140">
        <v>3.6349561783352442</v>
      </c>
    </row>
    <row r="1584" spans="1:6">
      <c r="A1584" s="149" t="s">
        <v>2962</v>
      </c>
      <c r="B1584" s="144" t="s">
        <v>1640</v>
      </c>
      <c r="C1584" s="44">
        <v>15077</v>
      </c>
      <c r="D1584" s="153">
        <f t="shared" si="24"/>
        <v>0.9423125</v>
      </c>
      <c r="E1584" s="43">
        <v>27044.825052286473</v>
      </c>
      <c r="F1584" s="140">
        <v>3.6473798852250638</v>
      </c>
    </row>
    <row r="1585" spans="1:6">
      <c r="A1585" s="149" t="s">
        <v>2962</v>
      </c>
      <c r="B1585" s="144" t="s">
        <v>1641</v>
      </c>
      <c r="C1585" s="44">
        <v>15070</v>
      </c>
      <c r="D1585" s="153">
        <f t="shared" si="24"/>
        <v>0.94187500000000002</v>
      </c>
      <c r="E1585" s="43">
        <v>27030.172900892758</v>
      </c>
      <c r="F1585" s="140">
        <v>3.6582485119486705</v>
      </c>
    </row>
    <row r="1586" spans="1:6">
      <c r="A1586" s="149" t="s">
        <v>2962</v>
      </c>
      <c r="B1586" s="144" t="s">
        <v>1642</v>
      </c>
      <c r="C1586" s="44">
        <v>15063</v>
      </c>
      <c r="D1586" s="153">
        <f t="shared" si="24"/>
        <v>0.94143750000000004</v>
      </c>
      <c r="E1586" s="43">
        <v>27015.532335498447</v>
      </c>
      <c r="F1586" s="140">
        <v>3.6691151652278222</v>
      </c>
    </row>
    <row r="1587" spans="1:6">
      <c r="A1587" s="149" t="s">
        <v>2962</v>
      </c>
      <c r="B1587" s="144" t="s">
        <v>1643</v>
      </c>
      <c r="C1587" s="44">
        <v>15056</v>
      </c>
      <c r="D1587" s="153">
        <f t="shared" si="24"/>
        <v>0.94100000000000006</v>
      </c>
      <c r="E1587" s="43">
        <v>27000.903342366757</v>
      </c>
      <c r="F1587" s="140">
        <v>3.6799798471986378</v>
      </c>
    </row>
    <row r="1588" spans="1:6">
      <c r="A1588" s="149" t="s">
        <v>2962</v>
      </c>
      <c r="B1588" s="144" t="s">
        <v>1644</v>
      </c>
      <c r="C1588" s="44">
        <v>15050</v>
      </c>
      <c r="D1588" s="153">
        <f t="shared" si="24"/>
        <v>0.94062500000000004</v>
      </c>
      <c r="E1588" s="43">
        <v>26988.373405576251</v>
      </c>
      <c r="F1588" s="140">
        <v>3.6892908643624196</v>
      </c>
    </row>
    <row r="1589" spans="1:6">
      <c r="A1589" s="149" t="s">
        <v>2962</v>
      </c>
      <c r="B1589" s="144" t="s">
        <v>1645</v>
      </c>
      <c r="C1589" s="44">
        <v>15044</v>
      </c>
      <c r="D1589" s="153">
        <f t="shared" si="24"/>
        <v>0.94025000000000003</v>
      </c>
      <c r="E1589" s="43">
        <v>26975.85195215527</v>
      </c>
      <c r="F1589" s="140">
        <v>3.6986004361285723</v>
      </c>
    </row>
    <row r="1590" spans="1:6">
      <c r="A1590" s="149" t="s">
        <v>2962</v>
      </c>
      <c r="B1590" s="144" t="s">
        <v>1646</v>
      </c>
      <c r="C1590" s="44">
        <v>15038</v>
      </c>
      <c r="D1590" s="153">
        <f t="shared" si="24"/>
        <v>0.93987500000000002</v>
      </c>
      <c r="E1590" s="43">
        <v>26963.338973491256</v>
      </c>
      <c r="F1590" s="140">
        <v>3.7079085638386573</v>
      </c>
    </row>
    <row r="1591" spans="1:6">
      <c r="A1591" s="149" t="s">
        <v>2962</v>
      </c>
      <c r="B1591" s="144" t="s">
        <v>1647</v>
      </c>
      <c r="C1591" s="44">
        <v>15032</v>
      </c>
      <c r="D1591" s="153">
        <f t="shared" si="24"/>
        <v>0.9395</v>
      </c>
      <c r="E1591" s="43">
        <v>26950.834460983311</v>
      </c>
      <c r="F1591" s="140">
        <v>3.7172152488329857</v>
      </c>
    </row>
    <row r="1592" spans="1:6">
      <c r="A1592" s="149" t="s">
        <v>2962</v>
      </c>
      <c r="B1592" s="144" t="s">
        <v>1648</v>
      </c>
      <c r="C1592" s="44">
        <v>15027</v>
      </c>
      <c r="D1592" s="153">
        <f t="shared" si="24"/>
        <v>0.93918750000000006</v>
      </c>
      <c r="E1592" s="43">
        <v>26940.420494898823</v>
      </c>
      <c r="F1592" s="140">
        <v>3.724969718553325</v>
      </c>
    </row>
    <row r="1593" spans="1:6">
      <c r="A1593" s="149" t="s">
        <v>2962</v>
      </c>
      <c r="B1593" s="144" t="s">
        <v>1649</v>
      </c>
      <c r="C1593" s="44">
        <v>15022</v>
      </c>
      <c r="D1593" s="153">
        <f t="shared" si="24"/>
        <v>0.93887500000000002</v>
      </c>
      <c r="E1593" s="43">
        <v>26930.012397159924</v>
      </c>
      <c r="F1593" s="140">
        <v>3.7327231880919385</v>
      </c>
    </row>
    <row r="1594" spans="1:6">
      <c r="A1594" s="149" t="s">
        <v>2962</v>
      </c>
      <c r="B1594" s="144" t="s">
        <v>1650</v>
      </c>
      <c r="C1594" s="44">
        <v>15017</v>
      </c>
      <c r="D1594" s="153">
        <f t="shared" si="24"/>
        <v>0.93856249999999997</v>
      </c>
      <c r="E1594" s="43">
        <v>26919.61016280773</v>
      </c>
      <c r="F1594" s="140">
        <v>3.7404756582229197</v>
      </c>
    </row>
    <row r="1595" spans="1:6">
      <c r="A1595" s="149" t="s">
        <v>2962</v>
      </c>
      <c r="B1595" s="144" t="s">
        <v>1651</v>
      </c>
      <c r="C1595" s="44">
        <v>15012</v>
      </c>
      <c r="D1595" s="153">
        <f t="shared" si="24"/>
        <v>0.93825000000000003</v>
      </c>
      <c r="E1595" s="43">
        <v>26909.21378688894</v>
      </c>
      <c r="F1595" s="140">
        <v>3.7482271297193392</v>
      </c>
    </row>
    <row r="1596" spans="1:6">
      <c r="A1596" s="149" t="s">
        <v>2962</v>
      </c>
      <c r="B1596" s="144" t="s">
        <v>1652</v>
      </c>
      <c r="C1596" s="44">
        <v>15008</v>
      </c>
      <c r="D1596" s="153">
        <f t="shared" si="24"/>
        <v>0.93800000000000006</v>
      </c>
      <c r="E1596" s="43">
        <v>26900.900900900902</v>
      </c>
      <c r="F1596" s="140">
        <v>3.7544275884189915</v>
      </c>
    </row>
    <row r="1597" spans="1:6">
      <c r="A1597" s="149" t="s">
        <v>2962</v>
      </c>
      <c r="B1597" s="144" t="s">
        <v>1653</v>
      </c>
      <c r="C1597" s="44">
        <v>15003</v>
      </c>
      <c r="D1597" s="153">
        <f t="shared" si="24"/>
        <v>0.93768750000000001</v>
      </c>
      <c r="E1597" s="43">
        <v>26890.515057697721</v>
      </c>
      <c r="F1597" s="140">
        <v>3.7621772643201439</v>
      </c>
    </row>
    <row r="1598" spans="1:6">
      <c r="A1598" s="149" t="s">
        <v>2962</v>
      </c>
      <c r="B1598" s="144" t="s">
        <v>1654</v>
      </c>
      <c r="C1598" s="44">
        <v>14999</v>
      </c>
      <c r="D1598" s="153">
        <f t="shared" si="24"/>
        <v>0.93743750000000003</v>
      </c>
      <c r="E1598" s="43">
        <v>26882.210591479543</v>
      </c>
      <c r="F1598" s="140">
        <v>3.7683762875440721</v>
      </c>
    </row>
    <row r="1599" spans="1:6">
      <c r="A1599" s="149" t="s">
        <v>2962</v>
      </c>
      <c r="B1599" s="144" t="s">
        <v>1655</v>
      </c>
      <c r="C1599" s="44">
        <v>14995</v>
      </c>
      <c r="D1599" s="153">
        <f t="shared" si="24"/>
        <v>0.93718750000000006</v>
      </c>
      <c r="E1599" s="43">
        <v>26873.909863275756</v>
      </c>
      <c r="F1599" s="140">
        <v>3.7745746734206023</v>
      </c>
    </row>
    <row r="1600" spans="1:6">
      <c r="A1600" s="149" t="s">
        <v>2962</v>
      </c>
      <c r="B1600" s="144" t="s">
        <v>1656</v>
      </c>
      <c r="C1600" s="44">
        <v>14992</v>
      </c>
      <c r="D1600" s="153">
        <f t="shared" si="24"/>
        <v>0.93700000000000006</v>
      </c>
      <c r="E1600" s="43">
        <v>26867.686768676867</v>
      </c>
      <c r="F1600" s="140">
        <v>3.7792230448061446</v>
      </c>
    </row>
    <row r="1601" spans="1:6">
      <c r="A1601" s="149" t="s">
        <v>2962</v>
      </c>
      <c r="B1601" s="144" t="s">
        <v>1657</v>
      </c>
      <c r="C1601" s="44">
        <v>14988</v>
      </c>
      <c r="D1601" s="153">
        <f t="shared" si="24"/>
        <v>0.93674999999999997</v>
      </c>
      <c r="E1601" s="43">
        <v>26859.39257592801</v>
      </c>
      <c r="F1601" s="140">
        <v>3.7854203162741555</v>
      </c>
    </row>
    <row r="1602" spans="1:6">
      <c r="A1602" s="149" t="s">
        <v>2962</v>
      </c>
      <c r="B1602" s="144" t="s">
        <v>1658</v>
      </c>
      <c r="C1602" s="44">
        <v>14985</v>
      </c>
      <c r="D1602" s="153">
        <f t="shared" si="24"/>
        <v>0.93656249999999996</v>
      </c>
      <c r="E1602" s="43">
        <v>26853.174380025866</v>
      </c>
      <c r="F1602" s="140">
        <v>3.7900678523062084</v>
      </c>
    </row>
    <row r="1603" spans="1:6">
      <c r="A1603" s="149" t="s">
        <v>2962</v>
      </c>
      <c r="B1603" s="144" t="s">
        <v>1659</v>
      </c>
      <c r="C1603" s="44">
        <v>14982</v>
      </c>
      <c r="D1603" s="153">
        <f t="shared" si="24"/>
        <v>0.93637500000000007</v>
      </c>
      <c r="E1603" s="43">
        <v>26846.958281794668</v>
      </c>
      <c r="F1603" s="140">
        <v>3.7947150306067101</v>
      </c>
    </row>
    <row r="1604" spans="1:6">
      <c r="A1604" s="149" t="s">
        <v>2962</v>
      </c>
      <c r="B1604" s="144" t="s">
        <v>1660</v>
      </c>
      <c r="C1604" s="44">
        <v>14978</v>
      </c>
      <c r="D1604" s="153">
        <f t="shared" si="24"/>
        <v>0.93612499999999998</v>
      </c>
      <c r="E1604" s="43">
        <v>26838.673412029231</v>
      </c>
      <c r="F1604" s="140">
        <v>3.8009107121566217</v>
      </c>
    </row>
    <row r="1605" spans="1:6">
      <c r="A1605" s="149" t="s">
        <v>2962</v>
      </c>
      <c r="B1605" s="144" t="s">
        <v>1661</v>
      </c>
      <c r="C1605" s="44">
        <v>14975</v>
      </c>
      <c r="D1605" s="153">
        <f t="shared" si="24"/>
        <v>0.93593749999999998</v>
      </c>
      <c r="E1605" s="43">
        <v>26832.462204237621</v>
      </c>
      <c r="F1605" s="140">
        <v>3.8055570563964238</v>
      </c>
    </row>
    <row r="1606" spans="1:6">
      <c r="A1606" s="149" t="s">
        <v>2962</v>
      </c>
      <c r="B1606" s="145" t="s">
        <v>1662</v>
      </c>
      <c r="C1606" s="142">
        <v>14973</v>
      </c>
      <c r="D1606" s="153">
        <f t="shared" si="24"/>
        <v>0.93581250000000005</v>
      </c>
      <c r="E1606" s="143">
        <v>26828.322562517562</v>
      </c>
      <c r="F1606" s="141">
        <v>3.8086544207804423</v>
      </c>
    </row>
    <row r="1607" spans="1:6">
      <c r="A1607" s="149" t="s">
        <v>2962</v>
      </c>
      <c r="B1607" s="144" t="s">
        <v>1663</v>
      </c>
      <c r="C1607" s="44">
        <v>14970</v>
      </c>
      <c r="D1607" s="153">
        <f t="shared" ref="D1607:D1670" si="25">C1607/32768*4.096/2</f>
        <v>0.93562500000000004</v>
      </c>
      <c r="E1607" s="43">
        <v>26822.114844364536</v>
      </c>
      <c r="F1607" s="140">
        <v>3.8133001698158751</v>
      </c>
    </row>
    <row r="1608" spans="1:6">
      <c r="A1608" s="149" t="s">
        <v>2962</v>
      </c>
      <c r="B1608" s="144" t="s">
        <v>1664</v>
      </c>
      <c r="C1608" s="44">
        <v>14967</v>
      </c>
      <c r="D1608" s="153">
        <f t="shared" si="25"/>
        <v>0.93543750000000003</v>
      </c>
      <c r="E1608" s="43">
        <v>26815.909218583227</v>
      </c>
      <c r="F1608" s="140">
        <v>3.8179455619497844</v>
      </c>
    </row>
    <row r="1609" spans="1:6">
      <c r="A1609" s="149" t="s">
        <v>2962</v>
      </c>
      <c r="B1609" s="144" t="s">
        <v>1665</v>
      </c>
      <c r="C1609" s="44">
        <v>14965</v>
      </c>
      <c r="D1609" s="153">
        <f t="shared" si="25"/>
        <v>0.93531249999999999</v>
      </c>
      <c r="E1609" s="43">
        <v>26811.773296635398</v>
      </c>
      <c r="F1609" s="140">
        <v>3.8210422918424456</v>
      </c>
    </row>
    <row r="1610" spans="1:6">
      <c r="A1610" s="149" t="s">
        <v>2962</v>
      </c>
      <c r="B1610" s="144" t="s">
        <v>1666</v>
      </c>
      <c r="C1610" s="44">
        <v>14962</v>
      </c>
      <c r="D1610" s="153">
        <f t="shared" si="25"/>
        <v>0.93512499999999998</v>
      </c>
      <c r="E1610" s="43">
        <v>26805.571155790181</v>
      </c>
      <c r="F1610" s="140">
        <v>3.8256870895091879</v>
      </c>
    </row>
    <row r="1611" spans="1:6">
      <c r="A1611" s="149" t="s">
        <v>2962</v>
      </c>
      <c r="B1611" s="144" t="s">
        <v>1667</v>
      </c>
      <c r="C1611" s="44">
        <v>14960</v>
      </c>
      <c r="D1611" s="153">
        <f t="shared" si="25"/>
        <v>0.93500000000000005</v>
      </c>
      <c r="E1611" s="43">
        <v>26801.437556154538</v>
      </c>
      <c r="F1611" s="140">
        <v>3.828783423243749</v>
      </c>
    </row>
    <row r="1612" spans="1:6">
      <c r="A1612" s="149" t="s">
        <v>2962</v>
      </c>
      <c r="B1612" s="144" t="s">
        <v>1668</v>
      </c>
      <c r="C1612" s="44">
        <v>14957</v>
      </c>
      <c r="D1612" s="153">
        <f t="shared" si="25"/>
        <v>0.93481250000000005</v>
      </c>
      <c r="E1612" s="43">
        <v>26795.23889731065</v>
      </c>
      <c r="F1612" s="140">
        <v>3.8334276269035286</v>
      </c>
    </row>
    <row r="1613" spans="1:6">
      <c r="A1613" s="149" t="s">
        <v>2962</v>
      </c>
      <c r="B1613" s="144" t="s">
        <v>1669</v>
      </c>
      <c r="C1613" s="44">
        <v>14955</v>
      </c>
      <c r="D1613" s="153">
        <f t="shared" si="25"/>
        <v>0.9346875</v>
      </c>
      <c r="E1613" s="43">
        <v>26791.107618031776</v>
      </c>
      <c r="F1613" s="140">
        <v>3.8365235647868303</v>
      </c>
    </row>
    <row r="1614" spans="1:6">
      <c r="A1614" s="149" t="s">
        <v>2962</v>
      </c>
      <c r="B1614" s="144" t="s">
        <v>1670</v>
      </c>
      <c r="C1614" s="44">
        <v>14953</v>
      </c>
      <c r="D1614" s="153">
        <f t="shared" si="25"/>
        <v>0.93456250000000007</v>
      </c>
      <c r="E1614" s="43">
        <v>26786.977266348582</v>
      </c>
      <c r="F1614" s="140">
        <v>3.8396193444154392</v>
      </c>
    </row>
    <row r="1615" spans="1:6">
      <c r="A1615" s="149" t="s">
        <v>2962</v>
      </c>
      <c r="B1615" s="144" t="s">
        <v>1671</v>
      </c>
      <c r="C1615" s="44">
        <v>14951</v>
      </c>
      <c r="D1615" s="153">
        <f t="shared" si="25"/>
        <v>0.93443750000000003</v>
      </c>
      <c r="E1615" s="43">
        <v>26782.8478419487</v>
      </c>
      <c r="F1615" s="140">
        <v>3.8427149658382973</v>
      </c>
    </row>
    <row r="1616" spans="1:6">
      <c r="A1616" s="149" t="s">
        <v>2962</v>
      </c>
      <c r="B1616" s="144" t="s">
        <v>1672</v>
      </c>
      <c r="C1616" s="44">
        <v>14949</v>
      </c>
      <c r="D1616" s="153">
        <f t="shared" si="25"/>
        <v>0.93431249999999999</v>
      </c>
      <c r="E1616" s="43">
        <v>26778.719344519894</v>
      </c>
      <c r="F1616" s="140">
        <v>3.8458104291045743</v>
      </c>
    </row>
    <row r="1617" spans="1:6">
      <c r="A1617" s="149" t="s">
        <v>2962</v>
      </c>
      <c r="B1617" s="144" t="s">
        <v>1673</v>
      </c>
      <c r="C1617" s="44">
        <v>14947</v>
      </c>
      <c r="D1617" s="153">
        <f t="shared" si="25"/>
        <v>0.93418750000000006</v>
      </c>
      <c r="E1617" s="43">
        <v>26774.591773750071</v>
      </c>
      <c r="F1617" s="140">
        <v>3.8489057342631554</v>
      </c>
    </row>
    <row r="1618" spans="1:6">
      <c r="A1618" s="149" t="s">
        <v>2962</v>
      </c>
      <c r="B1618" s="144" t="s">
        <v>1674</v>
      </c>
      <c r="C1618" s="44">
        <v>14945</v>
      </c>
      <c r="D1618" s="153">
        <f t="shared" si="25"/>
        <v>0.93406250000000002</v>
      </c>
      <c r="E1618" s="43">
        <v>26770.465129327273</v>
      </c>
      <c r="F1618" s="140">
        <v>3.8520008813631534</v>
      </c>
    </row>
    <row r="1619" spans="1:6">
      <c r="A1619" s="149" t="s">
        <v>2962</v>
      </c>
      <c r="B1619" s="144" t="s">
        <v>1675</v>
      </c>
      <c r="C1619" s="44">
        <v>14943</v>
      </c>
      <c r="D1619" s="153">
        <f t="shared" si="25"/>
        <v>0.93393749999999998</v>
      </c>
      <c r="E1619" s="43">
        <v>26766.33941093969</v>
      </c>
      <c r="F1619" s="140">
        <v>3.8550958704533969</v>
      </c>
    </row>
    <row r="1620" spans="1:6">
      <c r="A1620" s="149" t="s">
        <v>2962</v>
      </c>
      <c r="B1620" s="144" t="s">
        <v>1676</v>
      </c>
      <c r="C1620" s="44">
        <v>14942</v>
      </c>
      <c r="D1620" s="153">
        <f t="shared" si="25"/>
        <v>0.93387500000000001</v>
      </c>
      <c r="E1620" s="43">
        <v>26764.276898911703</v>
      </c>
      <c r="F1620" s="140">
        <v>3.8566433057602012</v>
      </c>
    </row>
    <row r="1621" spans="1:6">
      <c r="A1621" s="149" t="s">
        <v>2962</v>
      </c>
      <c r="B1621" s="144" t="s">
        <v>1677</v>
      </c>
      <c r="C1621" s="44">
        <v>14940</v>
      </c>
      <c r="D1621" s="153">
        <f t="shared" si="25"/>
        <v>0.93374999999999997</v>
      </c>
      <c r="E1621" s="43">
        <v>26760.152568992595</v>
      </c>
      <c r="F1621" s="140">
        <v>3.8597380579277001</v>
      </c>
    </row>
    <row r="1622" spans="1:6">
      <c r="A1622" s="149" t="s">
        <v>2962</v>
      </c>
      <c r="B1622" s="144" t="s">
        <v>1678</v>
      </c>
      <c r="C1622" s="44">
        <v>14938</v>
      </c>
      <c r="D1622" s="153">
        <f t="shared" si="25"/>
        <v>0.93362500000000004</v>
      </c>
      <c r="E1622" s="43">
        <v>26756.029164329782</v>
      </c>
      <c r="F1622" s="140">
        <v>3.8628326522078282</v>
      </c>
    </row>
    <row r="1623" spans="1:6">
      <c r="A1623" s="149" t="s">
        <v>2962</v>
      </c>
      <c r="B1623" s="144" t="s">
        <v>1679</v>
      </c>
      <c r="C1623" s="44">
        <v>14937</v>
      </c>
      <c r="D1623" s="153">
        <f t="shared" si="25"/>
        <v>0.93356250000000007</v>
      </c>
      <c r="E1623" s="43">
        <v>26753.967808872188</v>
      </c>
      <c r="F1623" s="140">
        <v>3.864379890155476</v>
      </c>
    </row>
    <row r="1624" spans="1:6">
      <c r="A1624" s="149" t="s">
        <v>2962</v>
      </c>
      <c r="B1624" s="144" t="s">
        <v>1680</v>
      </c>
      <c r="C1624" s="44">
        <v>14935</v>
      </c>
      <c r="D1624" s="153">
        <f t="shared" si="25"/>
        <v>0.93343750000000003</v>
      </c>
      <c r="E1624" s="43">
        <v>26749.845791510121</v>
      </c>
      <c r="F1624" s="140">
        <v>3.867474247696407</v>
      </c>
    </row>
    <row r="1625" spans="1:6">
      <c r="A1625" s="149" t="s">
        <v>2962</v>
      </c>
      <c r="B1625" s="144" t="s">
        <v>1681</v>
      </c>
      <c r="C1625" s="44">
        <v>14934</v>
      </c>
      <c r="D1625" s="153">
        <f t="shared" si="25"/>
        <v>0.93337500000000007</v>
      </c>
      <c r="E1625" s="43">
        <v>26747.785129527867</v>
      </c>
      <c r="F1625" s="140">
        <v>3.8690213673019116</v>
      </c>
    </row>
    <row r="1626" spans="1:6">
      <c r="A1626" s="149" t="s">
        <v>2962</v>
      </c>
      <c r="B1626" s="144" t="s">
        <v>1682</v>
      </c>
      <c r="C1626" s="44">
        <v>14932</v>
      </c>
      <c r="D1626" s="153">
        <f t="shared" si="25"/>
        <v>0.93325000000000002</v>
      </c>
      <c r="E1626" s="43">
        <v>26743.664498766539</v>
      </c>
      <c r="F1626" s="140">
        <v>3.8721154882136375</v>
      </c>
    </row>
    <row r="1627" spans="1:6">
      <c r="A1627" s="149" t="s">
        <v>2962</v>
      </c>
      <c r="B1627" s="144" t="s">
        <v>1683</v>
      </c>
      <c r="C1627" s="44">
        <v>14931</v>
      </c>
      <c r="D1627" s="153">
        <f t="shared" si="25"/>
        <v>0.93318750000000006</v>
      </c>
      <c r="E1627" s="43">
        <v>26741.604529909739</v>
      </c>
      <c r="F1627" s="140">
        <v>3.8736624895320233</v>
      </c>
    </row>
    <row r="1628" spans="1:6">
      <c r="A1628" s="149" t="s">
        <v>2962</v>
      </c>
      <c r="B1628" s="144" t="s">
        <v>1684</v>
      </c>
      <c r="C1628" s="44">
        <v>14930</v>
      </c>
      <c r="D1628" s="153">
        <f t="shared" si="25"/>
        <v>0.93312499999999998</v>
      </c>
      <c r="E1628" s="43">
        <v>26739.544792017041</v>
      </c>
      <c r="F1628" s="140">
        <v>3.8752094514335909</v>
      </c>
    </row>
    <row r="1629" spans="1:6">
      <c r="A1629" s="149" t="s">
        <v>2962</v>
      </c>
      <c r="B1629" s="144" t="s">
        <v>1685</v>
      </c>
      <c r="C1629" s="44">
        <v>14928</v>
      </c>
      <c r="D1629" s="153">
        <f t="shared" si="25"/>
        <v>0.93300000000000005</v>
      </c>
      <c r="E1629" s="43">
        <v>26735.42600896861</v>
      </c>
      <c r="F1629" s="140">
        <v>3.8783032570107139</v>
      </c>
    </row>
    <row r="1630" spans="1:6">
      <c r="A1630" s="149" t="s">
        <v>2962</v>
      </c>
      <c r="B1630" s="144" t="s">
        <v>1686</v>
      </c>
      <c r="C1630" s="44">
        <v>14927</v>
      </c>
      <c r="D1630" s="153">
        <f t="shared" si="25"/>
        <v>0.93293749999999998</v>
      </c>
      <c r="E1630" s="43">
        <v>26733.366963735218</v>
      </c>
      <c r="F1630" s="140">
        <v>3.8798501006984338</v>
      </c>
    </row>
    <row r="1631" spans="1:6">
      <c r="A1631" s="149" t="s">
        <v>2962</v>
      </c>
      <c r="B1631" s="144" t="s">
        <v>1687</v>
      </c>
      <c r="C1631" s="44">
        <v>14926</v>
      </c>
      <c r="D1631" s="153">
        <f t="shared" si="25"/>
        <v>0.93287500000000001</v>
      </c>
      <c r="E1631" s="43">
        <v>26731.308149310615</v>
      </c>
      <c r="F1631" s="140">
        <v>3.8813969049938351</v>
      </c>
    </row>
    <row r="1632" spans="1:6">
      <c r="A1632" s="149" t="s">
        <v>2962</v>
      </c>
      <c r="B1632" s="144" t="s">
        <v>1688</v>
      </c>
      <c r="C1632" s="44">
        <v>14925</v>
      </c>
      <c r="D1632" s="153">
        <f t="shared" si="25"/>
        <v>0.93281250000000004</v>
      </c>
      <c r="E1632" s="43">
        <v>26729.249565655999</v>
      </c>
      <c r="F1632" s="140">
        <v>3.8829436699028861</v>
      </c>
    </row>
    <row r="1633" spans="1:6">
      <c r="A1633" s="149" t="s">
        <v>2962</v>
      </c>
      <c r="B1633" s="144" t="s">
        <v>1689</v>
      </c>
      <c r="C1633" s="44">
        <v>14923</v>
      </c>
      <c r="D1633" s="153">
        <f t="shared" si="25"/>
        <v>0.9326875</v>
      </c>
      <c r="E1633" s="43">
        <v>26725.133090501542</v>
      </c>
      <c r="F1633" s="140">
        <v>3.8860370815865508</v>
      </c>
    </row>
    <row r="1634" spans="1:6">
      <c r="A1634" s="149" t="s">
        <v>2962</v>
      </c>
      <c r="B1634" s="144" t="s">
        <v>1690</v>
      </c>
      <c r="C1634" s="44">
        <v>14922</v>
      </c>
      <c r="D1634" s="153">
        <f t="shared" si="25"/>
        <v>0.93262500000000004</v>
      </c>
      <c r="E1634" s="43">
        <v>26723.075198924129</v>
      </c>
      <c r="F1634" s="140">
        <v>3.8875837283733858</v>
      </c>
    </row>
    <row r="1635" spans="1:6">
      <c r="A1635" s="149" t="s">
        <v>2962</v>
      </c>
      <c r="B1635" s="144" t="s">
        <v>1691</v>
      </c>
      <c r="C1635" s="44">
        <v>14921</v>
      </c>
      <c r="D1635" s="153">
        <f t="shared" si="25"/>
        <v>0.93256250000000007</v>
      </c>
      <c r="E1635" s="43">
        <v>26721.017537961561</v>
      </c>
      <c r="F1635" s="140">
        <v>3.8891303357983702</v>
      </c>
    </row>
    <row r="1636" spans="1:6">
      <c r="A1636" s="149" t="s">
        <v>2962</v>
      </c>
      <c r="B1636" s="144" t="s">
        <v>1692</v>
      </c>
      <c r="C1636" s="44">
        <v>14920</v>
      </c>
      <c r="D1636" s="153">
        <f t="shared" si="25"/>
        <v>0.9325</v>
      </c>
      <c r="E1636" s="43">
        <v>26718.96010757508</v>
      </c>
      <c r="F1636" s="140">
        <v>3.8906769038675293</v>
      </c>
    </row>
    <row r="1637" spans="1:6">
      <c r="A1637" s="149" t="s">
        <v>2962</v>
      </c>
      <c r="B1637" s="144" t="s">
        <v>1693</v>
      </c>
      <c r="C1637" s="44">
        <v>14919</v>
      </c>
      <c r="D1637" s="153">
        <f t="shared" si="25"/>
        <v>0.93243750000000003</v>
      </c>
      <c r="E1637" s="43">
        <v>26716.902907725922</v>
      </c>
      <c r="F1637" s="140">
        <v>3.8922234325870022</v>
      </c>
    </row>
    <row r="1638" spans="1:6">
      <c r="A1638" s="149" t="s">
        <v>2962</v>
      </c>
      <c r="B1638" s="144" t="s">
        <v>1694</v>
      </c>
      <c r="C1638" s="44">
        <v>14918</v>
      </c>
      <c r="D1638" s="153">
        <f t="shared" si="25"/>
        <v>0.93237500000000006</v>
      </c>
      <c r="E1638" s="43">
        <v>26714.845938375351</v>
      </c>
      <c r="F1638" s="140">
        <v>3.8937699219628712</v>
      </c>
    </row>
    <row r="1639" spans="1:6">
      <c r="A1639" s="149" t="s">
        <v>2962</v>
      </c>
      <c r="B1639" s="144" t="s">
        <v>1695</v>
      </c>
      <c r="C1639" s="44">
        <v>14917</v>
      </c>
      <c r="D1639" s="153">
        <f t="shared" si="25"/>
        <v>0.93231249999999999</v>
      </c>
      <c r="E1639" s="43">
        <v>26712.789199484621</v>
      </c>
      <c r="F1639" s="140">
        <v>3.8953163720013322</v>
      </c>
    </row>
    <row r="1640" spans="1:6">
      <c r="A1640" s="149" t="s">
        <v>2962</v>
      </c>
      <c r="B1640" s="144" t="s">
        <v>1696</v>
      </c>
      <c r="C1640" s="44">
        <v>14916</v>
      </c>
      <c r="D1640" s="153">
        <f t="shared" si="25"/>
        <v>0.93225000000000002</v>
      </c>
      <c r="E1640" s="43">
        <v>26710.732691015011</v>
      </c>
      <c r="F1640" s="140">
        <v>3.8968627827083537</v>
      </c>
    </row>
    <row r="1641" spans="1:6">
      <c r="A1641" s="149" t="s">
        <v>2962</v>
      </c>
      <c r="B1641" s="144" t="s">
        <v>1697</v>
      </c>
      <c r="C1641" s="44">
        <v>14915</v>
      </c>
      <c r="D1641" s="153">
        <f t="shared" si="25"/>
        <v>0.93218750000000006</v>
      </c>
      <c r="E1641" s="43">
        <v>26708.676412927798</v>
      </c>
      <c r="F1641" s="140">
        <v>3.8984091540900749</v>
      </c>
    </row>
    <row r="1642" spans="1:6">
      <c r="A1642" s="149" t="s">
        <v>2962</v>
      </c>
      <c r="B1642" s="144" t="s">
        <v>1698</v>
      </c>
      <c r="C1642" s="44">
        <v>14915</v>
      </c>
      <c r="D1642" s="153">
        <f t="shared" si="25"/>
        <v>0.93218750000000006</v>
      </c>
      <c r="E1642" s="43">
        <v>26708.676412927798</v>
      </c>
      <c r="F1642" s="140">
        <v>3.8984091540900749</v>
      </c>
    </row>
    <row r="1643" spans="1:6">
      <c r="A1643" s="149" t="s">
        <v>2962</v>
      </c>
      <c r="B1643" s="144" t="s">
        <v>1699</v>
      </c>
      <c r="C1643" s="44">
        <v>14914</v>
      </c>
      <c r="D1643" s="153">
        <f t="shared" si="25"/>
        <v>0.93212499999999998</v>
      </c>
      <c r="E1643" s="43">
        <v>26706.620365184273</v>
      </c>
      <c r="F1643" s="140">
        <v>3.8999554861526917</v>
      </c>
    </row>
    <row r="1644" spans="1:6">
      <c r="A1644" s="149" t="s">
        <v>2962</v>
      </c>
      <c r="B1644" s="144" t="s">
        <v>1700</v>
      </c>
      <c r="C1644" s="44">
        <v>14913</v>
      </c>
      <c r="D1644" s="153">
        <f t="shared" si="25"/>
        <v>0.93206250000000002</v>
      </c>
      <c r="E1644" s="43">
        <v>26704.564547745729</v>
      </c>
      <c r="F1644" s="140">
        <v>3.901501778902059</v>
      </c>
    </row>
    <row r="1645" spans="1:6">
      <c r="A1645" s="149" t="s">
        <v>2962</v>
      </c>
      <c r="B1645" s="144" t="s">
        <v>1701</v>
      </c>
      <c r="C1645" s="44">
        <v>14912</v>
      </c>
      <c r="D1645" s="153">
        <f t="shared" si="25"/>
        <v>0.93200000000000005</v>
      </c>
      <c r="E1645" s="43">
        <v>26702.508960573476</v>
      </c>
      <c r="F1645" s="140">
        <v>3.9030480323444863</v>
      </c>
    </row>
    <row r="1646" spans="1:6">
      <c r="A1646" s="149" t="s">
        <v>2962</v>
      </c>
      <c r="B1646" s="144" t="s">
        <v>1702</v>
      </c>
      <c r="C1646" s="44">
        <v>14911</v>
      </c>
      <c r="D1646" s="153">
        <f t="shared" si="25"/>
        <v>0.93193749999999997</v>
      </c>
      <c r="E1646" s="43">
        <v>26700.45360362883</v>
      </c>
      <c r="F1646" s="140">
        <v>3.9045942464859991</v>
      </c>
    </row>
    <row r="1647" spans="1:6">
      <c r="A1647" s="149" t="s">
        <v>2962</v>
      </c>
      <c r="B1647" s="144" t="s">
        <v>1703</v>
      </c>
      <c r="C1647" s="44">
        <v>14911</v>
      </c>
      <c r="D1647" s="153">
        <f t="shared" si="25"/>
        <v>0.93193749999999997</v>
      </c>
      <c r="E1647" s="43">
        <v>26700.45360362883</v>
      </c>
      <c r="F1647" s="140">
        <v>3.9045942464859991</v>
      </c>
    </row>
    <row r="1648" spans="1:6">
      <c r="A1648" s="149" t="s">
        <v>2962</v>
      </c>
      <c r="B1648" s="144" t="s">
        <v>1704</v>
      </c>
      <c r="C1648" s="44">
        <v>14910</v>
      </c>
      <c r="D1648" s="153">
        <f t="shared" si="25"/>
        <v>0.93187500000000001</v>
      </c>
      <c r="E1648" s="43">
        <v>26698.39847687311</v>
      </c>
      <c r="F1648" s="140">
        <v>3.9061404213326796</v>
      </c>
    </row>
    <row r="1649" spans="1:6">
      <c r="A1649" s="149" t="s">
        <v>2962</v>
      </c>
      <c r="B1649" s="144" t="s">
        <v>1705</v>
      </c>
      <c r="C1649" s="44">
        <v>14909</v>
      </c>
      <c r="D1649" s="153">
        <f t="shared" si="25"/>
        <v>0.93181250000000004</v>
      </c>
      <c r="E1649" s="43">
        <v>26696.34358026765</v>
      </c>
      <c r="F1649" s="140">
        <v>3.9076865568906669</v>
      </c>
    </row>
    <row r="1650" spans="1:6">
      <c r="A1650" s="149" t="s">
        <v>2962</v>
      </c>
      <c r="B1650" s="144" t="s">
        <v>1706</v>
      </c>
      <c r="C1650" s="44">
        <v>14908</v>
      </c>
      <c r="D1650" s="153">
        <f t="shared" si="25"/>
        <v>0.93174999999999997</v>
      </c>
      <c r="E1650" s="43">
        <v>26694.288913773795</v>
      </c>
      <c r="F1650" s="140">
        <v>3.9092326531659296</v>
      </c>
    </row>
    <row r="1651" spans="1:6">
      <c r="A1651" s="149" t="s">
        <v>2962</v>
      </c>
      <c r="B1651" s="144" t="s">
        <v>1707</v>
      </c>
      <c r="C1651" s="44">
        <v>14908</v>
      </c>
      <c r="D1651" s="153">
        <f t="shared" si="25"/>
        <v>0.93174999999999997</v>
      </c>
      <c r="E1651" s="43">
        <v>26694.288913773795</v>
      </c>
      <c r="F1651" s="140">
        <v>3.9092326531659296</v>
      </c>
    </row>
    <row r="1652" spans="1:6">
      <c r="A1652" s="149" t="s">
        <v>2962</v>
      </c>
      <c r="B1652" s="144" t="s">
        <v>1708</v>
      </c>
      <c r="C1652" s="44">
        <v>14907</v>
      </c>
      <c r="D1652" s="153">
        <f t="shared" si="25"/>
        <v>0.9316875</v>
      </c>
      <c r="E1652" s="43">
        <v>26692.234477352893</v>
      </c>
      <c r="F1652" s="140">
        <v>3.9107787101647205</v>
      </c>
    </row>
    <row r="1653" spans="1:6">
      <c r="A1653" s="149" t="s">
        <v>2962</v>
      </c>
      <c r="B1653" s="144" t="s">
        <v>1709</v>
      </c>
      <c r="C1653" s="44">
        <v>14906</v>
      </c>
      <c r="D1653" s="153">
        <f t="shared" si="25"/>
        <v>0.93162500000000004</v>
      </c>
      <c r="E1653" s="43">
        <v>26690.180270966299</v>
      </c>
      <c r="F1653" s="140">
        <v>3.912324727893008</v>
      </c>
    </row>
    <row r="1654" spans="1:6">
      <c r="A1654" s="149" t="s">
        <v>2962</v>
      </c>
      <c r="B1654" s="144" t="s">
        <v>1710</v>
      </c>
      <c r="C1654" s="44">
        <v>14906</v>
      </c>
      <c r="D1654" s="153">
        <f t="shared" si="25"/>
        <v>0.93162500000000004</v>
      </c>
      <c r="E1654" s="43">
        <v>26690.180270966299</v>
      </c>
      <c r="F1654" s="140">
        <v>3.912324727893008</v>
      </c>
    </row>
    <row r="1655" spans="1:6">
      <c r="A1655" s="149" t="s">
        <v>2962</v>
      </c>
      <c r="B1655" s="144" t="s">
        <v>1711</v>
      </c>
      <c r="C1655" s="44">
        <v>14905</v>
      </c>
      <c r="D1655" s="153">
        <f t="shared" si="25"/>
        <v>0.93156250000000007</v>
      </c>
      <c r="E1655" s="43">
        <v>26688.126294575381</v>
      </c>
      <c r="F1655" s="140">
        <v>3.9138707063568745</v>
      </c>
    </row>
    <row r="1656" spans="1:6">
      <c r="A1656" s="149" t="s">
        <v>2962</v>
      </c>
      <c r="B1656" s="144" t="s">
        <v>1712</v>
      </c>
      <c r="C1656" s="44">
        <v>14904</v>
      </c>
      <c r="D1656" s="153">
        <f t="shared" si="25"/>
        <v>0.93149999999999999</v>
      </c>
      <c r="E1656" s="43">
        <v>26686.072548141514</v>
      </c>
      <c r="F1656" s="140">
        <v>3.9154166455624591</v>
      </c>
    </row>
    <row r="1657" spans="1:6">
      <c r="A1657" s="149" t="s">
        <v>2962</v>
      </c>
      <c r="B1657" s="144" t="s">
        <v>1713</v>
      </c>
      <c r="C1657" s="44">
        <v>14904</v>
      </c>
      <c r="D1657" s="153">
        <f t="shared" si="25"/>
        <v>0.93149999999999999</v>
      </c>
      <c r="E1657" s="43">
        <v>26686.072548141514</v>
      </c>
      <c r="F1657" s="140">
        <v>3.9154166455624591</v>
      </c>
    </row>
    <row r="1658" spans="1:6">
      <c r="A1658" s="149" t="s">
        <v>2962</v>
      </c>
      <c r="B1658" s="144" t="s">
        <v>1714</v>
      </c>
      <c r="C1658" s="44">
        <v>14903</v>
      </c>
      <c r="D1658" s="153">
        <f t="shared" si="25"/>
        <v>0.93143750000000003</v>
      </c>
      <c r="E1658" s="43">
        <v>26684.019031626085</v>
      </c>
      <c r="F1658" s="140">
        <v>3.9169625455159007</v>
      </c>
    </row>
    <row r="1659" spans="1:6">
      <c r="A1659" s="149" t="s">
        <v>2962</v>
      </c>
      <c r="B1659" s="144" t="s">
        <v>1715</v>
      </c>
      <c r="C1659" s="44">
        <v>14902</v>
      </c>
      <c r="D1659" s="153">
        <f t="shared" si="25"/>
        <v>0.93137500000000006</v>
      </c>
      <c r="E1659" s="43">
        <v>26681.965744990484</v>
      </c>
      <c r="F1659" s="140">
        <v>3.9185084062231681</v>
      </c>
    </row>
    <row r="1660" spans="1:6">
      <c r="A1660" s="149" t="s">
        <v>2962</v>
      </c>
      <c r="B1660" s="144" t="s">
        <v>1716</v>
      </c>
      <c r="C1660" s="44">
        <v>14902</v>
      </c>
      <c r="D1660" s="153">
        <f t="shared" si="25"/>
        <v>0.93137500000000006</v>
      </c>
      <c r="E1660" s="43">
        <v>26681.965744990484</v>
      </c>
      <c r="F1660" s="140">
        <v>3.9185084062231681</v>
      </c>
    </row>
    <row r="1661" spans="1:6">
      <c r="A1661" s="149" t="s">
        <v>2962</v>
      </c>
      <c r="B1661" s="144" t="s">
        <v>1717</v>
      </c>
      <c r="C1661" s="44">
        <v>14901</v>
      </c>
      <c r="D1661" s="153">
        <f t="shared" si="25"/>
        <v>0.93131249999999999</v>
      </c>
      <c r="E1661" s="43">
        <v>26679.912688196117</v>
      </c>
      <c r="F1661" s="140">
        <v>3.9200542276903434</v>
      </c>
    </row>
    <row r="1662" spans="1:6">
      <c r="A1662" s="149" t="s">
        <v>2962</v>
      </c>
      <c r="B1662" s="144" t="s">
        <v>1718</v>
      </c>
      <c r="C1662" s="44">
        <v>14901</v>
      </c>
      <c r="D1662" s="153">
        <f t="shared" si="25"/>
        <v>0.93131249999999999</v>
      </c>
      <c r="E1662" s="43">
        <v>26679.912688196117</v>
      </c>
      <c r="F1662" s="140">
        <v>3.9200542276903434</v>
      </c>
    </row>
    <row r="1663" spans="1:6">
      <c r="A1663" s="149" t="s">
        <v>2962</v>
      </c>
      <c r="B1663" s="144" t="s">
        <v>1719</v>
      </c>
      <c r="C1663" s="44">
        <v>14900</v>
      </c>
      <c r="D1663" s="153">
        <f t="shared" si="25"/>
        <v>0.93125000000000002</v>
      </c>
      <c r="E1663" s="43">
        <v>26677.859861204386</v>
      </c>
      <c r="F1663" s="140">
        <v>3.9216000099236226</v>
      </c>
    </row>
    <row r="1664" spans="1:6">
      <c r="A1664" s="149" t="s">
        <v>2962</v>
      </c>
      <c r="B1664" s="144" t="s">
        <v>1720</v>
      </c>
      <c r="C1664" s="44">
        <v>14900</v>
      </c>
      <c r="D1664" s="153">
        <f t="shared" si="25"/>
        <v>0.93125000000000002</v>
      </c>
      <c r="E1664" s="43">
        <v>26677.859861204386</v>
      </c>
      <c r="F1664" s="140">
        <v>3.9216000099236226</v>
      </c>
    </row>
    <row r="1665" spans="1:6">
      <c r="A1665" s="149" t="s">
        <v>2962</v>
      </c>
      <c r="B1665" s="144" t="s">
        <v>1721</v>
      </c>
      <c r="C1665" s="44">
        <v>14899</v>
      </c>
      <c r="D1665" s="153">
        <f t="shared" si="25"/>
        <v>0.93118750000000006</v>
      </c>
      <c r="E1665" s="43">
        <v>26675.80726397672</v>
      </c>
      <c r="F1665" s="140">
        <v>3.923145752929031</v>
      </c>
    </row>
    <row r="1666" spans="1:6">
      <c r="A1666" s="149" t="s">
        <v>2962</v>
      </c>
      <c r="B1666" s="144" t="s">
        <v>1722</v>
      </c>
      <c r="C1666" s="44">
        <v>14899</v>
      </c>
      <c r="D1666" s="153">
        <f t="shared" si="25"/>
        <v>0.93118750000000006</v>
      </c>
      <c r="E1666" s="43">
        <v>26675.80726397672</v>
      </c>
      <c r="F1666" s="140">
        <v>3.923145752929031</v>
      </c>
    </row>
    <row r="1667" spans="1:6">
      <c r="A1667" s="149" t="s">
        <v>2962</v>
      </c>
      <c r="B1667" s="144" t="s">
        <v>1723</v>
      </c>
      <c r="C1667" s="44">
        <v>14898</v>
      </c>
      <c r="D1667" s="153">
        <f t="shared" si="25"/>
        <v>0.93112499999999998</v>
      </c>
      <c r="E1667" s="43">
        <v>26673.75489647454</v>
      </c>
      <c r="F1667" s="140">
        <v>3.924691456712651</v>
      </c>
    </row>
    <row r="1668" spans="1:6">
      <c r="A1668" s="149" t="s">
        <v>2962</v>
      </c>
      <c r="B1668" s="144" t="s">
        <v>1724</v>
      </c>
      <c r="C1668" s="44">
        <v>14898</v>
      </c>
      <c r="D1668" s="153">
        <f t="shared" si="25"/>
        <v>0.93112499999999998</v>
      </c>
      <c r="E1668" s="43">
        <v>26673.75489647454</v>
      </c>
      <c r="F1668" s="140">
        <v>3.924691456712651</v>
      </c>
    </row>
    <row r="1669" spans="1:6">
      <c r="A1669" s="149" t="s">
        <v>2962</v>
      </c>
      <c r="B1669" s="144" t="s">
        <v>1725</v>
      </c>
      <c r="C1669" s="44">
        <v>14897</v>
      </c>
      <c r="D1669" s="153">
        <f t="shared" si="25"/>
        <v>0.93106250000000002</v>
      </c>
      <c r="E1669" s="43">
        <v>26671.702758659281</v>
      </c>
      <c r="F1669" s="140">
        <v>3.9262371212805078</v>
      </c>
    </row>
    <row r="1670" spans="1:6">
      <c r="A1670" s="149" t="s">
        <v>2962</v>
      </c>
      <c r="B1670" s="144" t="s">
        <v>1726</v>
      </c>
      <c r="C1670" s="44">
        <v>14897</v>
      </c>
      <c r="D1670" s="153">
        <f t="shared" si="25"/>
        <v>0.93106250000000002</v>
      </c>
      <c r="E1670" s="43">
        <v>26671.702758659281</v>
      </c>
      <c r="F1670" s="140">
        <v>3.9262371212805078</v>
      </c>
    </row>
    <row r="1671" spans="1:6">
      <c r="A1671" s="149" t="s">
        <v>2962</v>
      </c>
      <c r="B1671" s="144" t="s">
        <v>1727</v>
      </c>
      <c r="C1671" s="44">
        <v>14897</v>
      </c>
      <c r="D1671" s="153">
        <f t="shared" ref="D1671:D1734" si="26">C1671/32768*4.096/2</f>
        <v>0.93106250000000002</v>
      </c>
      <c r="E1671" s="43">
        <v>26671.702758659281</v>
      </c>
      <c r="F1671" s="140">
        <v>3.9262371212805078</v>
      </c>
    </row>
    <row r="1672" spans="1:6">
      <c r="A1672" s="149" t="s">
        <v>2962</v>
      </c>
      <c r="B1672" s="144" t="s">
        <v>1728</v>
      </c>
      <c r="C1672" s="44">
        <v>14896</v>
      </c>
      <c r="D1672" s="153">
        <f t="shared" si="26"/>
        <v>0.93100000000000005</v>
      </c>
      <c r="E1672" s="43">
        <v>26669.650850492391</v>
      </c>
      <c r="F1672" s="140">
        <v>3.9277827466387976</v>
      </c>
    </row>
    <row r="1673" spans="1:6">
      <c r="A1673" s="149" t="s">
        <v>2962</v>
      </c>
      <c r="B1673" s="144" t="s">
        <v>1729</v>
      </c>
      <c r="C1673" s="44">
        <v>14896</v>
      </c>
      <c r="D1673" s="153">
        <f t="shared" si="26"/>
        <v>0.93100000000000005</v>
      </c>
      <c r="E1673" s="43">
        <v>26669.650850492391</v>
      </c>
      <c r="F1673" s="140">
        <v>3.9277827466387976</v>
      </c>
    </row>
    <row r="1674" spans="1:6">
      <c r="A1674" s="149" t="s">
        <v>2962</v>
      </c>
      <c r="B1674" s="144" t="s">
        <v>1730</v>
      </c>
      <c r="C1674" s="44">
        <v>14896</v>
      </c>
      <c r="D1674" s="153">
        <f t="shared" si="26"/>
        <v>0.93100000000000005</v>
      </c>
      <c r="E1674" s="43">
        <v>26669.650850492391</v>
      </c>
      <c r="F1674" s="140">
        <v>3.9277827466387976</v>
      </c>
    </row>
    <row r="1675" spans="1:6">
      <c r="A1675" s="149" t="s">
        <v>2962</v>
      </c>
      <c r="B1675" s="144" t="s">
        <v>1731</v>
      </c>
      <c r="C1675" s="44">
        <v>14895</v>
      </c>
      <c r="D1675" s="153">
        <f t="shared" si="26"/>
        <v>0.93093749999999997</v>
      </c>
      <c r="E1675" s="43">
        <v>26667.599171935322</v>
      </c>
      <c r="F1675" s="140">
        <v>3.9293283327934887</v>
      </c>
    </row>
    <row r="1676" spans="1:6">
      <c r="A1676" s="149" t="s">
        <v>2962</v>
      </c>
      <c r="B1676" s="144" t="s">
        <v>1732</v>
      </c>
      <c r="C1676" s="44">
        <v>14895</v>
      </c>
      <c r="D1676" s="153">
        <f t="shared" si="26"/>
        <v>0.93093749999999997</v>
      </c>
      <c r="E1676" s="43">
        <v>26667.599171935322</v>
      </c>
      <c r="F1676" s="140">
        <v>3.9293283327934887</v>
      </c>
    </row>
    <row r="1677" spans="1:6">
      <c r="A1677" s="149" t="s">
        <v>2962</v>
      </c>
      <c r="B1677" s="144" t="s">
        <v>1733</v>
      </c>
      <c r="C1677" s="44">
        <v>14894</v>
      </c>
      <c r="D1677" s="153">
        <f t="shared" si="26"/>
        <v>0.93087500000000001</v>
      </c>
      <c r="E1677" s="43">
        <v>26665.547722949537</v>
      </c>
      <c r="F1677" s="140">
        <v>3.9308738797507203</v>
      </c>
    </row>
    <row r="1678" spans="1:6">
      <c r="A1678" s="149" t="s">
        <v>2962</v>
      </c>
      <c r="B1678" s="144" t="s">
        <v>1734</v>
      </c>
      <c r="C1678" s="44">
        <v>14894</v>
      </c>
      <c r="D1678" s="153">
        <f t="shared" si="26"/>
        <v>0.93087500000000001</v>
      </c>
      <c r="E1678" s="43">
        <v>26665.547722949537</v>
      </c>
      <c r="F1678" s="140">
        <v>3.9308738797507203</v>
      </c>
    </row>
    <row r="1679" spans="1:6">
      <c r="A1679" s="149" t="s">
        <v>2962</v>
      </c>
      <c r="B1679" s="144" t="s">
        <v>1735</v>
      </c>
      <c r="C1679" s="44">
        <v>14894</v>
      </c>
      <c r="D1679" s="153">
        <f t="shared" si="26"/>
        <v>0.93087500000000001</v>
      </c>
      <c r="E1679" s="43">
        <v>26665.547722949537</v>
      </c>
      <c r="F1679" s="140">
        <v>3.9308738797507203</v>
      </c>
    </row>
    <row r="1680" spans="1:6">
      <c r="A1680" s="149" t="s">
        <v>2962</v>
      </c>
      <c r="B1680" s="144" t="s">
        <v>1736</v>
      </c>
      <c r="C1680" s="44">
        <v>14893</v>
      </c>
      <c r="D1680" s="153">
        <f t="shared" si="26"/>
        <v>0.93081250000000004</v>
      </c>
      <c r="E1680" s="43">
        <v>26663.496503496503</v>
      </c>
      <c r="F1680" s="140">
        <v>3.9324193875165179</v>
      </c>
    </row>
    <row r="1681" spans="1:6">
      <c r="A1681" s="149" t="s">
        <v>2962</v>
      </c>
      <c r="B1681" s="144" t="s">
        <v>1737</v>
      </c>
      <c r="C1681" s="44">
        <v>14893</v>
      </c>
      <c r="D1681" s="153">
        <f t="shared" si="26"/>
        <v>0.93081250000000004</v>
      </c>
      <c r="E1681" s="43">
        <v>26663.496503496503</v>
      </c>
      <c r="F1681" s="140">
        <v>3.9324193875165179</v>
      </c>
    </row>
    <row r="1682" spans="1:6">
      <c r="A1682" s="149" t="s">
        <v>2962</v>
      </c>
      <c r="B1682" s="144" t="s">
        <v>1738</v>
      </c>
      <c r="C1682" s="44">
        <v>14893</v>
      </c>
      <c r="D1682" s="153">
        <f t="shared" si="26"/>
        <v>0.93081250000000004</v>
      </c>
      <c r="E1682" s="43">
        <v>26663.496503496503</v>
      </c>
      <c r="F1682" s="140">
        <v>3.9324193875165179</v>
      </c>
    </row>
    <row r="1683" spans="1:6">
      <c r="A1683" s="149" t="s">
        <v>2962</v>
      </c>
      <c r="B1683" s="144" t="s">
        <v>1739</v>
      </c>
      <c r="C1683" s="44">
        <v>14892</v>
      </c>
      <c r="D1683" s="153">
        <f t="shared" si="26"/>
        <v>0.93074999999999997</v>
      </c>
      <c r="E1683" s="43">
        <v>26661.445513537703</v>
      </c>
      <c r="F1683" s="140">
        <v>3.9339648560969636</v>
      </c>
    </row>
    <row r="1684" spans="1:6">
      <c r="A1684" s="149" t="s">
        <v>2962</v>
      </c>
      <c r="B1684" s="144" t="s">
        <v>1740</v>
      </c>
      <c r="C1684" s="44">
        <v>14892</v>
      </c>
      <c r="D1684" s="153">
        <f t="shared" si="26"/>
        <v>0.93074999999999997</v>
      </c>
      <c r="E1684" s="43">
        <v>26661.445513537703</v>
      </c>
      <c r="F1684" s="140">
        <v>3.9339648560969636</v>
      </c>
    </row>
    <row r="1685" spans="1:6">
      <c r="A1685" s="149" t="s">
        <v>2962</v>
      </c>
      <c r="B1685" s="144" t="s">
        <v>1741</v>
      </c>
      <c r="C1685" s="44">
        <v>14892</v>
      </c>
      <c r="D1685" s="153">
        <f t="shared" si="26"/>
        <v>0.93074999999999997</v>
      </c>
      <c r="E1685" s="43">
        <v>26661.445513537703</v>
      </c>
      <c r="F1685" s="140">
        <v>3.9339648560969636</v>
      </c>
    </row>
    <row r="1686" spans="1:6">
      <c r="A1686" s="149" t="s">
        <v>2962</v>
      </c>
      <c r="B1686" s="144" t="s">
        <v>1742</v>
      </c>
      <c r="C1686" s="44">
        <v>14891</v>
      </c>
      <c r="D1686" s="153">
        <f t="shared" si="26"/>
        <v>0.9306875</v>
      </c>
      <c r="E1686" s="43">
        <v>26659.394753034627</v>
      </c>
      <c r="F1686" s="140">
        <v>3.9355102854981965</v>
      </c>
    </row>
    <row r="1687" spans="1:6">
      <c r="A1687" s="149" t="s">
        <v>2962</v>
      </c>
      <c r="B1687" s="144" t="s">
        <v>1743</v>
      </c>
      <c r="C1687" s="44">
        <v>14891</v>
      </c>
      <c r="D1687" s="153">
        <f t="shared" si="26"/>
        <v>0.9306875</v>
      </c>
      <c r="E1687" s="43">
        <v>26659.394753034627</v>
      </c>
      <c r="F1687" s="140">
        <v>3.9355102854981965</v>
      </c>
    </row>
    <row r="1688" spans="1:6">
      <c r="A1688" s="149" t="s">
        <v>2962</v>
      </c>
      <c r="B1688" s="144" t="s">
        <v>1744</v>
      </c>
      <c r="C1688" s="44">
        <v>14891</v>
      </c>
      <c r="D1688" s="153">
        <f t="shared" si="26"/>
        <v>0.9306875</v>
      </c>
      <c r="E1688" s="43">
        <v>26659.394753034627</v>
      </c>
      <c r="F1688" s="140">
        <v>3.9355102854981965</v>
      </c>
    </row>
    <row r="1689" spans="1:6">
      <c r="A1689" s="149" t="s">
        <v>2962</v>
      </c>
      <c r="B1689" s="144" t="s">
        <v>1745</v>
      </c>
      <c r="C1689" s="44">
        <v>14891</v>
      </c>
      <c r="D1689" s="153">
        <f t="shared" si="26"/>
        <v>0.9306875</v>
      </c>
      <c r="E1689" s="43">
        <v>26659.394753034627</v>
      </c>
      <c r="F1689" s="140">
        <v>3.9355102854981965</v>
      </c>
    </row>
    <row r="1690" spans="1:6">
      <c r="A1690" s="149" t="s">
        <v>2962</v>
      </c>
      <c r="B1690" s="144" t="s">
        <v>1746</v>
      </c>
      <c r="C1690" s="44">
        <v>14890</v>
      </c>
      <c r="D1690" s="153">
        <f t="shared" si="26"/>
        <v>0.93062500000000004</v>
      </c>
      <c r="E1690" s="43">
        <v>26657.344221948762</v>
      </c>
      <c r="F1690" s="140">
        <v>3.937055675726242</v>
      </c>
    </row>
    <row r="1691" spans="1:6">
      <c r="A1691" s="149" t="s">
        <v>2962</v>
      </c>
      <c r="B1691" s="144" t="s">
        <v>1747</v>
      </c>
      <c r="C1691" s="44">
        <v>14890</v>
      </c>
      <c r="D1691" s="153">
        <f t="shared" si="26"/>
        <v>0.93062500000000004</v>
      </c>
      <c r="E1691" s="43">
        <v>26657.344221948762</v>
      </c>
      <c r="F1691" s="140">
        <v>3.937055675726242</v>
      </c>
    </row>
    <row r="1692" spans="1:6">
      <c r="A1692" s="149" t="s">
        <v>2962</v>
      </c>
      <c r="B1692" s="144" t="s">
        <v>1748</v>
      </c>
      <c r="C1692" s="44">
        <v>14890</v>
      </c>
      <c r="D1692" s="153">
        <f t="shared" si="26"/>
        <v>0.93062500000000004</v>
      </c>
      <c r="E1692" s="43">
        <v>26657.344221948762</v>
      </c>
      <c r="F1692" s="140">
        <v>3.937055675726242</v>
      </c>
    </row>
    <row r="1693" spans="1:6">
      <c r="A1693" s="149" t="s">
        <v>2962</v>
      </c>
      <c r="B1693" s="144" t="s">
        <v>1749</v>
      </c>
      <c r="C1693" s="44">
        <v>14889</v>
      </c>
      <c r="D1693" s="153">
        <f t="shared" si="26"/>
        <v>0.93056250000000007</v>
      </c>
      <c r="E1693" s="43">
        <v>26655.293920241624</v>
      </c>
      <c r="F1693" s="140">
        <v>3.9386010267872393</v>
      </c>
    </row>
    <row r="1694" spans="1:6">
      <c r="A1694" s="149" t="s">
        <v>2962</v>
      </c>
      <c r="B1694" s="144" t="s">
        <v>1750</v>
      </c>
      <c r="C1694" s="44">
        <v>14889</v>
      </c>
      <c r="D1694" s="153">
        <f t="shared" si="26"/>
        <v>0.93056250000000007</v>
      </c>
      <c r="E1694" s="43">
        <v>26655.293920241624</v>
      </c>
      <c r="F1694" s="140">
        <v>3.9386010267872393</v>
      </c>
    </row>
    <row r="1695" spans="1:6">
      <c r="A1695" s="149" t="s">
        <v>2962</v>
      </c>
      <c r="B1695" s="144" t="s">
        <v>1751</v>
      </c>
      <c r="C1695" s="44">
        <v>14889</v>
      </c>
      <c r="D1695" s="153">
        <f t="shared" si="26"/>
        <v>0.93056250000000007</v>
      </c>
      <c r="E1695" s="43">
        <v>26655.293920241624</v>
      </c>
      <c r="F1695" s="140">
        <v>3.9386010267872393</v>
      </c>
    </row>
    <row r="1696" spans="1:6">
      <c r="A1696" s="149" t="s">
        <v>2962</v>
      </c>
      <c r="B1696" s="144" t="s">
        <v>1752</v>
      </c>
      <c r="C1696" s="44">
        <v>14889</v>
      </c>
      <c r="D1696" s="153">
        <f t="shared" si="26"/>
        <v>0.93056250000000007</v>
      </c>
      <c r="E1696" s="43">
        <v>26655.293920241624</v>
      </c>
      <c r="F1696" s="140">
        <v>3.9386010267872393</v>
      </c>
    </row>
    <row r="1697" spans="1:6">
      <c r="A1697" s="149" t="s">
        <v>2962</v>
      </c>
      <c r="B1697" s="144" t="s">
        <v>1753</v>
      </c>
      <c r="C1697" s="44">
        <v>14889</v>
      </c>
      <c r="D1697" s="153">
        <f t="shared" si="26"/>
        <v>0.93056250000000007</v>
      </c>
      <c r="E1697" s="43">
        <v>26655.293920241624</v>
      </c>
      <c r="F1697" s="140">
        <v>3.9386010267872393</v>
      </c>
    </row>
    <row r="1698" spans="1:6">
      <c r="A1698" s="149" t="s">
        <v>2962</v>
      </c>
      <c r="B1698" s="145" t="s">
        <v>1754</v>
      </c>
      <c r="C1698" s="142">
        <v>14889</v>
      </c>
      <c r="D1698" s="153">
        <f t="shared" si="26"/>
        <v>0.93056250000000007</v>
      </c>
      <c r="E1698" s="143">
        <v>26655.293920241624</v>
      </c>
      <c r="F1698" s="141">
        <v>3.9386010267872393</v>
      </c>
    </row>
    <row r="1699" spans="1:6">
      <c r="A1699" s="149" t="s">
        <v>2962</v>
      </c>
      <c r="B1699" s="144" t="s">
        <v>1755</v>
      </c>
      <c r="C1699" s="44">
        <v>14888</v>
      </c>
      <c r="D1699" s="153">
        <f t="shared" si="26"/>
        <v>0.93049999999999999</v>
      </c>
      <c r="E1699" s="43">
        <v>26653.243847874721</v>
      </c>
      <c r="F1699" s="140">
        <v>3.9401463386872138</v>
      </c>
    </row>
    <row r="1700" spans="1:6">
      <c r="A1700" s="149" t="s">
        <v>2962</v>
      </c>
      <c r="B1700" s="144" t="s">
        <v>1756</v>
      </c>
      <c r="C1700" s="44">
        <v>14888</v>
      </c>
      <c r="D1700" s="153">
        <f t="shared" si="26"/>
        <v>0.93049999999999999</v>
      </c>
      <c r="E1700" s="43">
        <v>26653.243847874721</v>
      </c>
      <c r="F1700" s="140">
        <v>3.9401463386872138</v>
      </c>
    </row>
    <row r="1701" spans="1:6">
      <c r="A1701" s="149" t="s">
        <v>2962</v>
      </c>
      <c r="B1701" s="144" t="s">
        <v>1757</v>
      </c>
      <c r="C1701" s="44">
        <v>14888</v>
      </c>
      <c r="D1701" s="153">
        <f t="shared" si="26"/>
        <v>0.93049999999999999</v>
      </c>
      <c r="E1701" s="43">
        <v>26653.243847874721</v>
      </c>
      <c r="F1701" s="140">
        <v>3.9401463386872138</v>
      </c>
    </row>
    <row r="1702" spans="1:6">
      <c r="A1702" s="149" t="s">
        <v>2962</v>
      </c>
      <c r="B1702" s="144" t="s">
        <v>1758</v>
      </c>
      <c r="C1702" s="44">
        <v>14887</v>
      </c>
      <c r="D1702" s="153">
        <f t="shared" si="26"/>
        <v>0.93043750000000003</v>
      </c>
      <c r="E1702" s="43">
        <v>26651.194004809575</v>
      </c>
      <c r="F1702" s="140">
        <v>3.9416916114321339</v>
      </c>
    </row>
    <row r="1703" spans="1:6">
      <c r="A1703" s="149" t="s">
        <v>2962</v>
      </c>
      <c r="B1703" s="144" t="s">
        <v>1759</v>
      </c>
      <c r="C1703" s="44">
        <v>14888</v>
      </c>
      <c r="D1703" s="153">
        <f t="shared" si="26"/>
        <v>0.93049999999999999</v>
      </c>
      <c r="E1703" s="43">
        <v>26653.243847874721</v>
      </c>
      <c r="F1703" s="140">
        <v>3.9401463386872138</v>
      </c>
    </row>
    <row r="1704" spans="1:6">
      <c r="A1704" s="149" t="s">
        <v>2962</v>
      </c>
      <c r="B1704" s="144" t="s">
        <v>1760</v>
      </c>
      <c r="C1704" s="44">
        <v>14887</v>
      </c>
      <c r="D1704" s="153">
        <f t="shared" si="26"/>
        <v>0.93043750000000003</v>
      </c>
      <c r="E1704" s="43">
        <v>26651.194004809575</v>
      </c>
      <c r="F1704" s="140">
        <v>3.9416916114321339</v>
      </c>
    </row>
    <row r="1705" spans="1:6">
      <c r="A1705" s="149" t="s">
        <v>2962</v>
      </c>
      <c r="B1705" s="144" t="s">
        <v>1761</v>
      </c>
      <c r="C1705" s="44">
        <v>14887</v>
      </c>
      <c r="D1705" s="153">
        <f t="shared" si="26"/>
        <v>0.93043750000000003</v>
      </c>
      <c r="E1705" s="43">
        <v>26651.194004809575</v>
      </c>
      <c r="F1705" s="140">
        <v>3.9416916114321339</v>
      </c>
    </row>
    <row r="1706" spans="1:6">
      <c r="A1706" s="149" t="s">
        <v>2962</v>
      </c>
      <c r="B1706" s="144" t="s">
        <v>1762</v>
      </c>
      <c r="C1706" s="44">
        <v>14887</v>
      </c>
      <c r="D1706" s="153">
        <f t="shared" si="26"/>
        <v>0.93043750000000003</v>
      </c>
      <c r="E1706" s="43">
        <v>26651.194004809575</v>
      </c>
      <c r="F1706" s="140">
        <v>3.9416916114321339</v>
      </c>
    </row>
    <row r="1707" spans="1:6">
      <c r="A1707" s="149" t="s">
        <v>2962</v>
      </c>
      <c r="B1707" s="144" t="s">
        <v>1763</v>
      </c>
      <c r="C1707" s="44">
        <v>14886</v>
      </c>
      <c r="D1707" s="153">
        <f t="shared" si="26"/>
        <v>0.93037500000000006</v>
      </c>
      <c r="E1707" s="43">
        <v>26649.144391007718</v>
      </c>
      <c r="F1707" s="140">
        <v>3.9432368450282524</v>
      </c>
    </row>
    <row r="1708" spans="1:6">
      <c r="A1708" s="149" t="s">
        <v>2962</v>
      </c>
      <c r="B1708" s="144" t="s">
        <v>1764</v>
      </c>
      <c r="C1708" s="44">
        <v>14886</v>
      </c>
      <c r="D1708" s="153">
        <f t="shared" si="26"/>
        <v>0.93037500000000006</v>
      </c>
      <c r="E1708" s="43">
        <v>26649.144391007718</v>
      </c>
      <c r="F1708" s="140">
        <v>3.9432368450282524</v>
      </c>
    </row>
    <row r="1709" spans="1:6">
      <c r="A1709" s="149" t="s">
        <v>2962</v>
      </c>
      <c r="B1709" s="144" t="s">
        <v>1765</v>
      </c>
      <c r="C1709" s="44">
        <v>14886</v>
      </c>
      <c r="D1709" s="153">
        <f t="shared" si="26"/>
        <v>0.93037500000000006</v>
      </c>
      <c r="E1709" s="43">
        <v>26649.144391007718</v>
      </c>
      <c r="F1709" s="140">
        <v>3.9432368450282524</v>
      </c>
    </row>
    <row r="1710" spans="1:6">
      <c r="A1710" s="149" t="s">
        <v>2962</v>
      </c>
      <c r="B1710" s="144" t="s">
        <v>1766</v>
      </c>
      <c r="C1710" s="44">
        <v>14886</v>
      </c>
      <c r="D1710" s="153">
        <f t="shared" si="26"/>
        <v>0.93037500000000006</v>
      </c>
      <c r="E1710" s="43">
        <v>26649.144391007718</v>
      </c>
      <c r="F1710" s="140">
        <v>3.9432368450282524</v>
      </c>
    </row>
    <row r="1711" spans="1:6">
      <c r="A1711" s="149" t="s">
        <v>2962</v>
      </c>
      <c r="B1711" s="144" t="s">
        <v>1767</v>
      </c>
      <c r="C1711" s="44">
        <v>14886</v>
      </c>
      <c r="D1711" s="153">
        <f t="shared" si="26"/>
        <v>0.93037500000000006</v>
      </c>
      <c r="E1711" s="43">
        <v>26649.144391007718</v>
      </c>
      <c r="F1711" s="140">
        <v>3.9432368450282524</v>
      </c>
    </row>
    <row r="1712" spans="1:6">
      <c r="A1712" s="149" t="s">
        <v>2962</v>
      </c>
      <c r="B1712" s="144" t="s">
        <v>1768</v>
      </c>
      <c r="C1712" s="44">
        <v>14886</v>
      </c>
      <c r="D1712" s="153">
        <f t="shared" si="26"/>
        <v>0.93037500000000006</v>
      </c>
      <c r="E1712" s="43">
        <v>26649.144391007718</v>
      </c>
      <c r="F1712" s="140">
        <v>3.9432368450282524</v>
      </c>
    </row>
    <row r="1713" spans="1:6">
      <c r="A1713" s="149" t="s">
        <v>2962</v>
      </c>
      <c r="B1713" s="144" t="s">
        <v>1769</v>
      </c>
      <c r="C1713" s="44">
        <v>14885</v>
      </c>
      <c r="D1713" s="153">
        <f t="shared" si="26"/>
        <v>0.93031249999999999</v>
      </c>
      <c r="E1713" s="43">
        <v>26647.095006430689</v>
      </c>
      <c r="F1713" s="140">
        <v>3.9447820394814812</v>
      </c>
    </row>
    <row r="1714" spans="1:6">
      <c r="A1714" s="149" t="s">
        <v>2962</v>
      </c>
      <c r="B1714" s="144" t="s">
        <v>1770</v>
      </c>
      <c r="C1714" s="44">
        <v>14885</v>
      </c>
      <c r="D1714" s="153">
        <f t="shared" si="26"/>
        <v>0.93031249999999999</v>
      </c>
      <c r="E1714" s="43">
        <v>26647.095006430689</v>
      </c>
      <c r="F1714" s="140">
        <v>3.9447820394814812</v>
      </c>
    </row>
    <row r="1715" spans="1:6">
      <c r="A1715" s="149" t="s">
        <v>2962</v>
      </c>
      <c r="B1715" s="144" t="s">
        <v>1771</v>
      </c>
      <c r="C1715" s="44">
        <v>14885</v>
      </c>
      <c r="D1715" s="153">
        <f t="shared" si="26"/>
        <v>0.93031249999999999</v>
      </c>
      <c r="E1715" s="43">
        <v>26647.095006430689</v>
      </c>
      <c r="F1715" s="140">
        <v>3.9447820394814812</v>
      </c>
    </row>
    <row r="1716" spans="1:6">
      <c r="A1716" s="149" t="s">
        <v>2962</v>
      </c>
      <c r="B1716" s="144" t="s">
        <v>1772</v>
      </c>
      <c r="C1716" s="44">
        <v>14885</v>
      </c>
      <c r="D1716" s="153">
        <f t="shared" si="26"/>
        <v>0.93031249999999999</v>
      </c>
      <c r="E1716" s="43">
        <v>26647.095006430689</v>
      </c>
      <c r="F1716" s="140">
        <v>3.9447820394814812</v>
      </c>
    </row>
    <row r="1717" spans="1:6">
      <c r="A1717" s="149" t="s">
        <v>2962</v>
      </c>
      <c r="B1717" s="144" t="s">
        <v>1773</v>
      </c>
      <c r="C1717" s="44">
        <v>14885</v>
      </c>
      <c r="D1717" s="153">
        <f t="shared" si="26"/>
        <v>0.93031249999999999</v>
      </c>
      <c r="E1717" s="43">
        <v>26647.095006430689</v>
      </c>
      <c r="F1717" s="140">
        <v>3.9447820394814812</v>
      </c>
    </row>
    <row r="1718" spans="1:6">
      <c r="A1718" s="149" t="s">
        <v>2962</v>
      </c>
      <c r="B1718" s="144" t="s">
        <v>1774</v>
      </c>
      <c r="C1718" s="44">
        <v>14885</v>
      </c>
      <c r="D1718" s="153">
        <f t="shared" si="26"/>
        <v>0.93031249999999999</v>
      </c>
      <c r="E1718" s="43">
        <v>26647.095006430689</v>
      </c>
      <c r="F1718" s="140">
        <v>3.9447820394814812</v>
      </c>
    </row>
    <row r="1719" spans="1:6">
      <c r="A1719" s="149" t="s">
        <v>2962</v>
      </c>
      <c r="B1719" s="144" t="s">
        <v>1775</v>
      </c>
      <c r="C1719" s="44">
        <v>14885</v>
      </c>
      <c r="D1719" s="153">
        <f t="shared" si="26"/>
        <v>0.93031249999999999</v>
      </c>
      <c r="E1719" s="43">
        <v>26647.095006430689</v>
      </c>
      <c r="F1719" s="140">
        <v>3.9447820394814812</v>
      </c>
    </row>
    <row r="1720" spans="1:6">
      <c r="A1720" s="149" t="s">
        <v>2962</v>
      </c>
      <c r="B1720" s="144" t="s">
        <v>1776</v>
      </c>
      <c r="C1720" s="44">
        <v>14884</v>
      </c>
      <c r="D1720" s="153">
        <f t="shared" si="26"/>
        <v>0.93025000000000002</v>
      </c>
      <c r="E1720" s="43">
        <v>26645.045851040035</v>
      </c>
      <c r="F1720" s="140">
        <v>3.9463271947979592</v>
      </c>
    </row>
    <row r="1721" spans="1:6">
      <c r="A1721" s="149" t="s">
        <v>2962</v>
      </c>
      <c r="B1721" s="144" t="s">
        <v>1777</v>
      </c>
      <c r="C1721" s="44">
        <v>14884</v>
      </c>
      <c r="D1721" s="153">
        <f t="shared" si="26"/>
        <v>0.93025000000000002</v>
      </c>
      <c r="E1721" s="43">
        <v>26645.045851040035</v>
      </c>
      <c r="F1721" s="140">
        <v>3.9463271947979592</v>
      </c>
    </row>
    <row r="1722" spans="1:6">
      <c r="A1722" s="149" t="s">
        <v>2962</v>
      </c>
      <c r="B1722" s="144" t="s">
        <v>1778</v>
      </c>
      <c r="C1722" s="44">
        <v>14884</v>
      </c>
      <c r="D1722" s="153">
        <f t="shared" si="26"/>
        <v>0.93025000000000002</v>
      </c>
      <c r="E1722" s="43">
        <v>26645.045851040035</v>
      </c>
      <c r="F1722" s="140">
        <v>3.9463271947979592</v>
      </c>
    </row>
    <row r="1723" spans="1:6">
      <c r="A1723" s="149" t="s">
        <v>2962</v>
      </c>
      <c r="B1723" s="144" t="s">
        <v>1779</v>
      </c>
      <c r="C1723" s="44">
        <v>14884</v>
      </c>
      <c r="D1723" s="153">
        <f t="shared" si="26"/>
        <v>0.93025000000000002</v>
      </c>
      <c r="E1723" s="43">
        <v>26645.045851040035</v>
      </c>
      <c r="F1723" s="140">
        <v>3.9463271947979592</v>
      </c>
    </row>
    <row r="1724" spans="1:6">
      <c r="A1724" s="149" t="s">
        <v>2962</v>
      </c>
      <c r="B1724" s="144" t="s">
        <v>1780</v>
      </c>
      <c r="C1724" s="44">
        <v>14884</v>
      </c>
      <c r="D1724" s="153">
        <f t="shared" si="26"/>
        <v>0.93025000000000002</v>
      </c>
      <c r="E1724" s="43">
        <v>26645.045851040035</v>
      </c>
      <c r="F1724" s="140">
        <v>3.9463271947979592</v>
      </c>
    </row>
    <row r="1725" spans="1:6">
      <c r="A1725" s="149" t="s">
        <v>2962</v>
      </c>
      <c r="B1725" s="144" t="s">
        <v>1781</v>
      </c>
      <c r="C1725" s="44">
        <v>14884</v>
      </c>
      <c r="D1725" s="153">
        <f t="shared" si="26"/>
        <v>0.93025000000000002</v>
      </c>
      <c r="E1725" s="43">
        <v>26645.045851040035</v>
      </c>
      <c r="F1725" s="140">
        <v>3.9463271947979592</v>
      </c>
    </row>
    <row r="1726" spans="1:6">
      <c r="A1726" s="149" t="s">
        <v>2962</v>
      </c>
      <c r="B1726" s="144" t="s">
        <v>1782</v>
      </c>
      <c r="C1726" s="44">
        <v>14884</v>
      </c>
      <c r="D1726" s="153">
        <f t="shared" si="26"/>
        <v>0.93025000000000002</v>
      </c>
      <c r="E1726" s="43">
        <v>26645.045851040035</v>
      </c>
      <c r="F1726" s="140">
        <v>3.9463271947979592</v>
      </c>
    </row>
    <row r="1727" spans="1:6">
      <c r="A1727" s="149" t="s">
        <v>2962</v>
      </c>
      <c r="B1727" s="144" t="s">
        <v>1783</v>
      </c>
      <c r="C1727" s="44">
        <v>14884</v>
      </c>
      <c r="D1727" s="153">
        <f t="shared" si="26"/>
        <v>0.93025000000000002</v>
      </c>
      <c r="E1727" s="43">
        <v>26645.045851040035</v>
      </c>
      <c r="F1727" s="140">
        <v>3.9463271947979592</v>
      </c>
    </row>
    <row r="1728" spans="1:6">
      <c r="A1728" s="149" t="s">
        <v>2962</v>
      </c>
      <c r="B1728" s="144" t="s">
        <v>1784</v>
      </c>
      <c r="C1728" s="44">
        <v>14884</v>
      </c>
      <c r="D1728" s="153">
        <f t="shared" si="26"/>
        <v>0.93025000000000002</v>
      </c>
      <c r="E1728" s="43">
        <v>26645.045851040035</v>
      </c>
      <c r="F1728" s="140">
        <v>3.9463271947979592</v>
      </c>
    </row>
    <row r="1729" spans="1:6">
      <c r="A1729" s="149" t="s">
        <v>2962</v>
      </c>
      <c r="B1729" s="144" t="s">
        <v>1785</v>
      </c>
      <c r="C1729" s="44">
        <v>14883</v>
      </c>
      <c r="D1729" s="153">
        <f t="shared" si="26"/>
        <v>0.93018750000000006</v>
      </c>
      <c r="E1729" s="43">
        <v>26642.996924797317</v>
      </c>
      <c r="F1729" s="140">
        <v>3.9478723109837688</v>
      </c>
    </row>
    <row r="1730" spans="1:6">
      <c r="A1730" s="149" t="s">
        <v>2962</v>
      </c>
      <c r="B1730" s="144" t="s">
        <v>1786</v>
      </c>
      <c r="C1730" s="44">
        <v>14883</v>
      </c>
      <c r="D1730" s="153">
        <f t="shared" si="26"/>
        <v>0.93018750000000006</v>
      </c>
      <c r="E1730" s="43">
        <v>26642.996924797317</v>
      </c>
      <c r="F1730" s="140">
        <v>3.9478723109837688</v>
      </c>
    </row>
    <row r="1731" spans="1:6">
      <c r="A1731" s="149" t="s">
        <v>2962</v>
      </c>
      <c r="B1731" s="144" t="s">
        <v>1787</v>
      </c>
      <c r="C1731" s="44">
        <v>14883</v>
      </c>
      <c r="D1731" s="153">
        <f t="shared" si="26"/>
        <v>0.93018750000000006</v>
      </c>
      <c r="E1731" s="43">
        <v>26642.996924797317</v>
      </c>
      <c r="F1731" s="140">
        <v>3.9478723109837688</v>
      </c>
    </row>
    <row r="1732" spans="1:6">
      <c r="A1732" s="149" t="s">
        <v>2962</v>
      </c>
      <c r="B1732" s="144" t="s">
        <v>1788</v>
      </c>
      <c r="C1732" s="44">
        <v>14883</v>
      </c>
      <c r="D1732" s="153">
        <f t="shared" si="26"/>
        <v>0.93018750000000006</v>
      </c>
      <c r="E1732" s="43">
        <v>26642.996924797317</v>
      </c>
      <c r="F1732" s="140">
        <v>3.9478723109837688</v>
      </c>
    </row>
    <row r="1733" spans="1:6">
      <c r="A1733" s="149" t="s">
        <v>2962</v>
      </c>
      <c r="B1733" s="144" t="s">
        <v>1789</v>
      </c>
      <c r="C1733" s="44">
        <v>14883</v>
      </c>
      <c r="D1733" s="153">
        <f t="shared" si="26"/>
        <v>0.93018750000000006</v>
      </c>
      <c r="E1733" s="43">
        <v>26642.996924797317</v>
      </c>
      <c r="F1733" s="140">
        <v>3.9478723109837688</v>
      </c>
    </row>
    <row r="1734" spans="1:6">
      <c r="A1734" s="149" t="s">
        <v>2962</v>
      </c>
      <c r="B1734" s="144" t="s">
        <v>1790</v>
      </c>
      <c r="C1734" s="44">
        <v>14883</v>
      </c>
      <c r="D1734" s="153">
        <f t="shared" si="26"/>
        <v>0.93018750000000006</v>
      </c>
      <c r="E1734" s="43">
        <v>26642.996924797317</v>
      </c>
      <c r="F1734" s="140">
        <v>3.9478723109837688</v>
      </c>
    </row>
    <row r="1735" spans="1:6">
      <c r="A1735" s="149" t="s">
        <v>2962</v>
      </c>
      <c r="B1735" s="144" t="s">
        <v>1791</v>
      </c>
      <c r="C1735" s="44">
        <v>14883</v>
      </c>
      <c r="D1735" s="153">
        <f t="shared" ref="D1735:D1798" si="27">C1735/32768*4.096/2</f>
        <v>0.93018750000000006</v>
      </c>
      <c r="E1735" s="43">
        <v>26642.996924797317</v>
      </c>
      <c r="F1735" s="140">
        <v>3.9478723109837688</v>
      </c>
    </row>
    <row r="1736" spans="1:6">
      <c r="A1736" s="149" t="s">
        <v>2962</v>
      </c>
      <c r="B1736" s="144" t="s">
        <v>1792</v>
      </c>
      <c r="C1736" s="44">
        <v>14883</v>
      </c>
      <c r="D1736" s="153">
        <f t="shared" si="27"/>
        <v>0.93018750000000006</v>
      </c>
      <c r="E1736" s="43">
        <v>26642.996924797317</v>
      </c>
      <c r="F1736" s="140">
        <v>3.9478723109837688</v>
      </c>
    </row>
    <row r="1737" spans="1:6">
      <c r="A1737" s="149" t="s">
        <v>2962</v>
      </c>
      <c r="B1737" s="144" t="s">
        <v>1793</v>
      </c>
      <c r="C1737" s="44">
        <v>14883</v>
      </c>
      <c r="D1737" s="153">
        <f t="shared" si="27"/>
        <v>0.93018750000000006</v>
      </c>
      <c r="E1737" s="43">
        <v>26642.996924797317</v>
      </c>
      <c r="F1737" s="140">
        <v>3.9478723109837688</v>
      </c>
    </row>
    <row r="1738" spans="1:6">
      <c r="A1738" s="149" t="s">
        <v>2962</v>
      </c>
      <c r="B1738" s="144" t="s">
        <v>1794</v>
      </c>
      <c r="C1738" s="44">
        <v>14883</v>
      </c>
      <c r="D1738" s="153">
        <f t="shared" si="27"/>
        <v>0.93018750000000006</v>
      </c>
      <c r="E1738" s="43">
        <v>26642.996924797317</v>
      </c>
      <c r="F1738" s="140">
        <v>3.9478723109837688</v>
      </c>
    </row>
    <row r="1739" spans="1:6">
      <c r="A1739" s="149" t="s">
        <v>2962</v>
      </c>
      <c r="B1739" s="144" t="s">
        <v>1795</v>
      </c>
      <c r="C1739" s="44">
        <v>14882</v>
      </c>
      <c r="D1739" s="153">
        <f t="shared" si="27"/>
        <v>0.93012499999999998</v>
      </c>
      <c r="E1739" s="43">
        <v>26640.948227664096</v>
      </c>
      <c r="F1739" s="140">
        <v>3.9494173880450489</v>
      </c>
    </row>
    <row r="1740" spans="1:6">
      <c r="A1740" s="149" t="s">
        <v>2962</v>
      </c>
      <c r="B1740" s="144" t="s">
        <v>1796</v>
      </c>
      <c r="C1740" s="44">
        <v>14882</v>
      </c>
      <c r="D1740" s="153">
        <f t="shared" si="27"/>
        <v>0.93012499999999998</v>
      </c>
      <c r="E1740" s="43">
        <v>26640.948227664096</v>
      </c>
      <c r="F1740" s="140">
        <v>3.9494173880450489</v>
      </c>
    </row>
    <row r="1741" spans="1:6">
      <c r="A1741" s="149" t="s">
        <v>2962</v>
      </c>
      <c r="B1741" s="144" t="s">
        <v>1797</v>
      </c>
      <c r="C1741" s="44">
        <v>14882</v>
      </c>
      <c r="D1741" s="153">
        <f t="shared" si="27"/>
        <v>0.93012499999999998</v>
      </c>
      <c r="E1741" s="43">
        <v>26640.948227664096</v>
      </c>
      <c r="F1741" s="140">
        <v>3.9494173880450489</v>
      </c>
    </row>
    <row r="1742" spans="1:6">
      <c r="A1742" s="149" t="s">
        <v>2962</v>
      </c>
      <c r="B1742" s="144" t="s">
        <v>1798</v>
      </c>
      <c r="C1742" s="44">
        <v>14882</v>
      </c>
      <c r="D1742" s="153">
        <f t="shared" si="27"/>
        <v>0.93012499999999998</v>
      </c>
      <c r="E1742" s="43">
        <v>26640.948227664096</v>
      </c>
      <c r="F1742" s="140">
        <v>3.9494173880450489</v>
      </c>
    </row>
    <row r="1743" spans="1:6">
      <c r="A1743" s="149" t="s">
        <v>2962</v>
      </c>
      <c r="B1743" s="144" t="s">
        <v>1799</v>
      </c>
      <c r="C1743" s="44">
        <v>14882</v>
      </c>
      <c r="D1743" s="153">
        <f t="shared" si="27"/>
        <v>0.93012499999999998</v>
      </c>
      <c r="E1743" s="43">
        <v>26640.948227664096</v>
      </c>
      <c r="F1743" s="140">
        <v>3.9494173880450489</v>
      </c>
    </row>
    <row r="1744" spans="1:6">
      <c r="A1744" s="149" t="s">
        <v>2962</v>
      </c>
      <c r="B1744" s="144" t="s">
        <v>1800</v>
      </c>
      <c r="C1744" s="44">
        <v>14882</v>
      </c>
      <c r="D1744" s="153">
        <f t="shared" si="27"/>
        <v>0.93012499999999998</v>
      </c>
      <c r="E1744" s="43">
        <v>26640.948227664096</v>
      </c>
      <c r="F1744" s="140">
        <v>3.9494173880450489</v>
      </c>
    </row>
    <row r="1745" spans="1:6">
      <c r="A1745" s="149" t="s">
        <v>2962</v>
      </c>
      <c r="B1745" s="144" t="s">
        <v>1801</v>
      </c>
      <c r="C1745" s="44">
        <v>14882</v>
      </c>
      <c r="D1745" s="153">
        <f t="shared" si="27"/>
        <v>0.93012499999999998</v>
      </c>
      <c r="E1745" s="43">
        <v>26640.948227664096</v>
      </c>
      <c r="F1745" s="140">
        <v>3.9494173880450489</v>
      </c>
    </row>
    <row r="1746" spans="1:6">
      <c r="A1746" s="149" t="s">
        <v>2962</v>
      </c>
      <c r="B1746" s="144" t="s">
        <v>1802</v>
      </c>
      <c r="C1746" s="44">
        <v>14882</v>
      </c>
      <c r="D1746" s="153">
        <f t="shared" si="27"/>
        <v>0.93012499999999998</v>
      </c>
      <c r="E1746" s="43">
        <v>26640.948227664096</v>
      </c>
      <c r="F1746" s="140">
        <v>3.9494173880450489</v>
      </c>
    </row>
    <row r="1747" spans="1:6">
      <c r="A1747" s="149" t="s">
        <v>2962</v>
      </c>
      <c r="B1747" s="144" t="s">
        <v>1803</v>
      </c>
      <c r="C1747" s="44">
        <v>14882</v>
      </c>
      <c r="D1747" s="153">
        <f t="shared" si="27"/>
        <v>0.93012499999999998</v>
      </c>
      <c r="E1747" s="43">
        <v>26640.948227664096</v>
      </c>
      <c r="F1747" s="140">
        <v>3.9494173880450489</v>
      </c>
    </row>
    <row r="1748" spans="1:6">
      <c r="A1748" s="149" t="s">
        <v>2962</v>
      </c>
      <c r="B1748" s="144" t="s">
        <v>1804</v>
      </c>
      <c r="C1748" s="44">
        <v>14882</v>
      </c>
      <c r="D1748" s="153">
        <f t="shared" si="27"/>
        <v>0.93012499999999998</v>
      </c>
      <c r="E1748" s="43">
        <v>26640.948227664096</v>
      </c>
      <c r="F1748" s="140">
        <v>3.9494173880450489</v>
      </c>
    </row>
    <row r="1749" spans="1:6">
      <c r="A1749" s="149" t="s">
        <v>2962</v>
      </c>
      <c r="B1749" s="144" t="s">
        <v>1805</v>
      </c>
      <c r="C1749" s="44">
        <v>14882</v>
      </c>
      <c r="D1749" s="153">
        <f t="shared" si="27"/>
        <v>0.93012499999999998</v>
      </c>
      <c r="E1749" s="43">
        <v>26640.948227664096</v>
      </c>
      <c r="F1749" s="140">
        <v>3.9494173880450489</v>
      </c>
    </row>
    <row r="1750" spans="1:6">
      <c r="A1750" s="149" t="s">
        <v>2962</v>
      </c>
      <c r="B1750" s="144" t="s">
        <v>1806</v>
      </c>
      <c r="C1750" s="44">
        <v>14881</v>
      </c>
      <c r="D1750" s="153">
        <f t="shared" si="27"/>
        <v>0.93006250000000001</v>
      </c>
      <c r="E1750" s="43">
        <v>26638.899759601947</v>
      </c>
      <c r="F1750" s="140">
        <v>3.9509624259877114</v>
      </c>
    </row>
    <row r="1751" spans="1:6">
      <c r="A1751" s="149" t="s">
        <v>2962</v>
      </c>
      <c r="B1751" s="144" t="s">
        <v>1807</v>
      </c>
      <c r="C1751" s="44">
        <v>14881</v>
      </c>
      <c r="D1751" s="153">
        <f t="shared" si="27"/>
        <v>0.93006250000000001</v>
      </c>
      <c r="E1751" s="43">
        <v>26638.899759601947</v>
      </c>
      <c r="F1751" s="140">
        <v>3.9509624259877114</v>
      </c>
    </row>
    <row r="1752" spans="1:6">
      <c r="A1752" s="149" t="s">
        <v>2962</v>
      </c>
      <c r="B1752" s="144" t="s">
        <v>1808</v>
      </c>
      <c r="C1752" s="44">
        <v>14881</v>
      </c>
      <c r="D1752" s="153">
        <f t="shared" si="27"/>
        <v>0.93006250000000001</v>
      </c>
      <c r="E1752" s="43">
        <v>26638.899759601947</v>
      </c>
      <c r="F1752" s="140">
        <v>3.9509624259877114</v>
      </c>
    </row>
    <row r="1753" spans="1:6">
      <c r="A1753" s="149" t="s">
        <v>2962</v>
      </c>
      <c r="B1753" s="144" t="s">
        <v>1809</v>
      </c>
      <c r="C1753" s="44">
        <v>14881</v>
      </c>
      <c r="D1753" s="153">
        <f t="shared" si="27"/>
        <v>0.93006250000000001</v>
      </c>
      <c r="E1753" s="43">
        <v>26638.899759601947</v>
      </c>
      <c r="F1753" s="140">
        <v>3.9509624259877114</v>
      </c>
    </row>
    <row r="1754" spans="1:6">
      <c r="A1754" s="149" t="s">
        <v>2962</v>
      </c>
      <c r="B1754" s="144" t="s">
        <v>1810</v>
      </c>
      <c r="C1754" s="44">
        <v>14881</v>
      </c>
      <c r="D1754" s="153">
        <f t="shared" si="27"/>
        <v>0.93006250000000001</v>
      </c>
      <c r="E1754" s="43">
        <v>26638.899759601947</v>
      </c>
      <c r="F1754" s="140">
        <v>3.9509624259877114</v>
      </c>
    </row>
    <row r="1755" spans="1:6">
      <c r="A1755" s="149" t="s">
        <v>2962</v>
      </c>
      <c r="B1755" s="144" t="s">
        <v>1811</v>
      </c>
      <c r="C1755" s="44">
        <v>14881</v>
      </c>
      <c r="D1755" s="153">
        <f t="shared" si="27"/>
        <v>0.93006250000000001</v>
      </c>
      <c r="E1755" s="43">
        <v>26638.899759601947</v>
      </c>
      <c r="F1755" s="140">
        <v>3.9509624259877114</v>
      </c>
    </row>
    <row r="1756" spans="1:6">
      <c r="A1756" s="149" t="s">
        <v>2962</v>
      </c>
      <c r="B1756" s="144" t="s">
        <v>1812</v>
      </c>
      <c r="C1756" s="44">
        <v>14881</v>
      </c>
      <c r="D1756" s="153">
        <f t="shared" si="27"/>
        <v>0.93006250000000001</v>
      </c>
      <c r="E1756" s="43">
        <v>26638.899759601947</v>
      </c>
      <c r="F1756" s="140">
        <v>3.9509624259877114</v>
      </c>
    </row>
    <row r="1757" spans="1:6">
      <c r="A1757" s="149" t="s">
        <v>2962</v>
      </c>
      <c r="B1757" s="144" t="s">
        <v>1813</v>
      </c>
      <c r="C1757" s="44">
        <v>14881</v>
      </c>
      <c r="D1757" s="153">
        <f t="shared" si="27"/>
        <v>0.93006250000000001</v>
      </c>
      <c r="E1757" s="43">
        <v>26638.899759601947</v>
      </c>
      <c r="F1757" s="140">
        <v>3.9509624259877114</v>
      </c>
    </row>
    <row r="1758" spans="1:6">
      <c r="A1758" s="149" t="s">
        <v>2962</v>
      </c>
      <c r="B1758" s="144" t="s">
        <v>1814</v>
      </c>
      <c r="C1758" s="44">
        <v>14881</v>
      </c>
      <c r="D1758" s="153">
        <f t="shared" si="27"/>
        <v>0.93006250000000001</v>
      </c>
      <c r="E1758" s="43">
        <v>26638.899759601947</v>
      </c>
      <c r="F1758" s="140">
        <v>3.9509624259877114</v>
      </c>
    </row>
    <row r="1759" spans="1:6">
      <c r="A1759" s="149" t="s">
        <v>2962</v>
      </c>
      <c r="B1759" s="144" t="s">
        <v>1815</v>
      </c>
      <c r="C1759" s="44">
        <v>14881</v>
      </c>
      <c r="D1759" s="153">
        <f t="shared" si="27"/>
        <v>0.93006250000000001</v>
      </c>
      <c r="E1759" s="43">
        <v>26638.899759601947</v>
      </c>
      <c r="F1759" s="140">
        <v>3.9509624259877114</v>
      </c>
    </row>
    <row r="1760" spans="1:6">
      <c r="A1760" s="149" t="s">
        <v>2962</v>
      </c>
      <c r="B1760" s="144" t="s">
        <v>1816</v>
      </c>
      <c r="C1760" s="44">
        <v>14881</v>
      </c>
      <c r="D1760" s="153">
        <f t="shared" si="27"/>
        <v>0.93006250000000001</v>
      </c>
      <c r="E1760" s="43">
        <v>26638.899759601947</v>
      </c>
      <c r="F1760" s="140">
        <v>3.9509624259877114</v>
      </c>
    </row>
    <row r="1761" spans="1:6">
      <c r="A1761" s="149" t="s">
        <v>2962</v>
      </c>
      <c r="B1761" s="144" t="s">
        <v>1817</v>
      </c>
      <c r="C1761" s="44">
        <v>14881</v>
      </c>
      <c r="D1761" s="153">
        <f t="shared" si="27"/>
        <v>0.93006250000000001</v>
      </c>
      <c r="E1761" s="43">
        <v>26638.899759601947</v>
      </c>
      <c r="F1761" s="140">
        <v>3.9509624259877114</v>
      </c>
    </row>
    <row r="1762" spans="1:6">
      <c r="A1762" s="149" t="s">
        <v>2962</v>
      </c>
      <c r="B1762" s="144" t="s">
        <v>1818</v>
      </c>
      <c r="C1762" s="44">
        <v>14881</v>
      </c>
      <c r="D1762" s="153">
        <f t="shared" si="27"/>
        <v>0.93006250000000001</v>
      </c>
      <c r="E1762" s="43">
        <v>26638.899759601947</v>
      </c>
      <c r="F1762" s="140">
        <v>3.9509624259877114</v>
      </c>
    </row>
    <row r="1763" spans="1:6">
      <c r="A1763" s="149" t="s">
        <v>2962</v>
      </c>
      <c r="B1763" s="144" t="s">
        <v>1819</v>
      </c>
      <c r="C1763" s="44">
        <v>14881</v>
      </c>
      <c r="D1763" s="153">
        <f t="shared" si="27"/>
        <v>0.93006250000000001</v>
      </c>
      <c r="E1763" s="43">
        <v>26638.899759601947</v>
      </c>
      <c r="F1763" s="140">
        <v>3.9509624259877114</v>
      </c>
    </row>
    <row r="1764" spans="1:6">
      <c r="A1764" s="149" t="s">
        <v>2962</v>
      </c>
      <c r="B1764" s="144" t="s">
        <v>1820</v>
      </c>
      <c r="C1764" s="44">
        <v>14881</v>
      </c>
      <c r="D1764" s="153">
        <f t="shared" si="27"/>
        <v>0.93006250000000001</v>
      </c>
      <c r="E1764" s="43">
        <v>26638.899759601947</v>
      </c>
      <c r="F1764" s="140">
        <v>3.9509624259877114</v>
      </c>
    </row>
    <row r="1765" spans="1:6">
      <c r="A1765" s="149" t="s">
        <v>2962</v>
      </c>
      <c r="B1765" s="144" t="s">
        <v>1821</v>
      </c>
      <c r="C1765" s="44">
        <v>14881</v>
      </c>
      <c r="D1765" s="153">
        <f t="shared" si="27"/>
        <v>0.93006250000000001</v>
      </c>
      <c r="E1765" s="43">
        <v>26638.899759601947</v>
      </c>
      <c r="F1765" s="140">
        <v>3.9509624259877114</v>
      </c>
    </row>
    <row r="1766" spans="1:6">
      <c r="A1766" s="149" t="s">
        <v>2962</v>
      </c>
      <c r="B1766" s="144" t="s">
        <v>1822</v>
      </c>
      <c r="C1766" s="44">
        <v>14881</v>
      </c>
      <c r="D1766" s="153">
        <f t="shared" si="27"/>
        <v>0.93006250000000001</v>
      </c>
      <c r="E1766" s="43">
        <v>26638.899759601947</v>
      </c>
      <c r="F1766" s="140">
        <v>3.9509624259877114</v>
      </c>
    </row>
    <row r="1767" spans="1:6">
      <c r="A1767" s="149" t="s">
        <v>2962</v>
      </c>
      <c r="B1767" s="144" t="s">
        <v>1823</v>
      </c>
      <c r="C1767" s="44">
        <v>14881</v>
      </c>
      <c r="D1767" s="153">
        <f t="shared" si="27"/>
        <v>0.93006250000000001</v>
      </c>
      <c r="E1767" s="43">
        <v>26638.899759601947</v>
      </c>
      <c r="F1767" s="140">
        <v>3.9509624259877114</v>
      </c>
    </row>
    <row r="1768" spans="1:6">
      <c r="A1768" s="149" t="s">
        <v>2962</v>
      </c>
      <c r="B1768" s="144" t="s">
        <v>1824</v>
      </c>
      <c r="C1768" s="44">
        <v>14880</v>
      </c>
      <c r="D1768" s="153">
        <f t="shared" si="27"/>
        <v>0.93</v>
      </c>
      <c r="E1768" s="43">
        <v>26636.851520572451</v>
      </c>
      <c r="F1768" s="140">
        <v>3.9525074248178953</v>
      </c>
    </row>
    <row r="1769" spans="1:6">
      <c r="A1769" s="149" t="s">
        <v>2962</v>
      </c>
      <c r="B1769" s="144" t="s">
        <v>1825</v>
      </c>
      <c r="C1769" s="44">
        <v>14881</v>
      </c>
      <c r="D1769" s="153">
        <f t="shared" si="27"/>
        <v>0.93006250000000001</v>
      </c>
      <c r="E1769" s="43">
        <v>26638.899759601947</v>
      </c>
      <c r="F1769" s="140">
        <v>3.9509624259877114</v>
      </c>
    </row>
    <row r="1770" spans="1:6">
      <c r="A1770" s="149" t="s">
        <v>2962</v>
      </c>
      <c r="B1770" s="144" t="s">
        <v>1826</v>
      </c>
      <c r="C1770" s="44">
        <v>14880</v>
      </c>
      <c r="D1770" s="153">
        <f t="shared" si="27"/>
        <v>0.93</v>
      </c>
      <c r="E1770" s="43">
        <v>26636.851520572451</v>
      </c>
      <c r="F1770" s="140">
        <v>3.9525074248178953</v>
      </c>
    </row>
    <row r="1771" spans="1:6">
      <c r="A1771" s="149" t="s">
        <v>2962</v>
      </c>
      <c r="B1771" s="144" t="s">
        <v>1827</v>
      </c>
      <c r="C1771" s="44">
        <v>14880</v>
      </c>
      <c r="D1771" s="153">
        <f t="shared" si="27"/>
        <v>0.93</v>
      </c>
      <c r="E1771" s="43">
        <v>26636.851520572451</v>
      </c>
      <c r="F1771" s="140">
        <v>3.9525074248178953</v>
      </c>
    </row>
    <row r="1772" spans="1:6">
      <c r="A1772" s="149" t="s">
        <v>2962</v>
      </c>
      <c r="B1772" s="144" t="s">
        <v>1828</v>
      </c>
      <c r="C1772" s="44">
        <v>14880</v>
      </c>
      <c r="D1772" s="153">
        <f t="shared" si="27"/>
        <v>0.93</v>
      </c>
      <c r="E1772" s="43">
        <v>26636.851520572451</v>
      </c>
      <c r="F1772" s="140">
        <v>3.9525074248178953</v>
      </c>
    </row>
    <row r="1773" spans="1:6">
      <c r="A1773" s="149" t="s">
        <v>2962</v>
      </c>
      <c r="B1773" s="144" t="s">
        <v>1829</v>
      </c>
      <c r="C1773" s="44">
        <v>14880</v>
      </c>
      <c r="D1773" s="153">
        <f t="shared" si="27"/>
        <v>0.93</v>
      </c>
      <c r="E1773" s="43">
        <v>26636.851520572451</v>
      </c>
      <c r="F1773" s="140">
        <v>3.9525074248178953</v>
      </c>
    </row>
    <row r="1774" spans="1:6">
      <c r="A1774" s="149" t="s">
        <v>2962</v>
      </c>
      <c r="B1774" s="144" t="s">
        <v>1830</v>
      </c>
      <c r="C1774" s="44">
        <v>14880</v>
      </c>
      <c r="D1774" s="153">
        <f t="shared" si="27"/>
        <v>0.93</v>
      </c>
      <c r="E1774" s="43">
        <v>26636.851520572451</v>
      </c>
      <c r="F1774" s="140">
        <v>3.9525074248178953</v>
      </c>
    </row>
    <row r="1775" spans="1:6">
      <c r="A1775" s="149" t="s">
        <v>2962</v>
      </c>
      <c r="B1775" s="144" t="s">
        <v>1831</v>
      </c>
      <c r="C1775" s="44">
        <v>14880</v>
      </c>
      <c r="D1775" s="153">
        <f t="shared" si="27"/>
        <v>0.93</v>
      </c>
      <c r="E1775" s="43">
        <v>26636.851520572451</v>
      </c>
      <c r="F1775" s="140">
        <v>3.9525074248178953</v>
      </c>
    </row>
    <row r="1776" spans="1:6">
      <c r="A1776" s="149" t="s">
        <v>2962</v>
      </c>
      <c r="B1776" s="144" t="s">
        <v>1832</v>
      </c>
      <c r="C1776" s="44">
        <v>14880</v>
      </c>
      <c r="D1776" s="153">
        <f t="shared" si="27"/>
        <v>0.93</v>
      </c>
      <c r="E1776" s="43">
        <v>26636.851520572451</v>
      </c>
      <c r="F1776" s="140">
        <v>3.9525074248178953</v>
      </c>
    </row>
    <row r="1777" spans="1:6">
      <c r="A1777" s="149" t="s">
        <v>2962</v>
      </c>
      <c r="B1777" s="144" t="s">
        <v>1833</v>
      </c>
      <c r="C1777" s="44">
        <v>14880</v>
      </c>
      <c r="D1777" s="153">
        <f t="shared" si="27"/>
        <v>0.93</v>
      </c>
      <c r="E1777" s="43">
        <v>26636.851520572451</v>
      </c>
      <c r="F1777" s="140">
        <v>3.9525074248178953</v>
      </c>
    </row>
    <row r="1778" spans="1:6">
      <c r="A1778" s="149" t="s">
        <v>2962</v>
      </c>
      <c r="B1778" s="144" t="s">
        <v>1834</v>
      </c>
      <c r="C1778" s="44">
        <v>14880</v>
      </c>
      <c r="D1778" s="153">
        <f t="shared" si="27"/>
        <v>0.93</v>
      </c>
      <c r="E1778" s="43">
        <v>26636.851520572451</v>
      </c>
      <c r="F1778" s="140">
        <v>3.9525074248178953</v>
      </c>
    </row>
    <row r="1779" spans="1:6">
      <c r="A1779" s="149" t="s">
        <v>2962</v>
      </c>
      <c r="B1779" s="144" t="s">
        <v>1835</v>
      </c>
      <c r="C1779" s="44">
        <v>14880</v>
      </c>
      <c r="D1779" s="153">
        <f t="shared" si="27"/>
        <v>0.93</v>
      </c>
      <c r="E1779" s="43">
        <v>26636.851520572451</v>
      </c>
      <c r="F1779" s="140">
        <v>3.9525074248178953</v>
      </c>
    </row>
    <row r="1780" spans="1:6">
      <c r="A1780" s="149" t="s">
        <v>2962</v>
      </c>
      <c r="B1780" s="144" t="s">
        <v>1836</v>
      </c>
      <c r="C1780" s="44">
        <v>14880</v>
      </c>
      <c r="D1780" s="153">
        <f t="shared" si="27"/>
        <v>0.93</v>
      </c>
      <c r="E1780" s="43">
        <v>26636.851520572451</v>
      </c>
      <c r="F1780" s="140">
        <v>3.9525074248178953</v>
      </c>
    </row>
    <row r="1781" spans="1:6">
      <c r="A1781" s="149" t="s">
        <v>2962</v>
      </c>
      <c r="B1781" s="144" t="s">
        <v>1837</v>
      </c>
      <c r="C1781" s="44">
        <v>14880</v>
      </c>
      <c r="D1781" s="153">
        <f t="shared" si="27"/>
        <v>0.93</v>
      </c>
      <c r="E1781" s="43">
        <v>26636.851520572451</v>
      </c>
      <c r="F1781" s="140">
        <v>3.9525074248178953</v>
      </c>
    </row>
    <row r="1782" spans="1:6">
      <c r="A1782" s="149" t="s">
        <v>2962</v>
      </c>
      <c r="B1782" s="144" t="s">
        <v>1838</v>
      </c>
      <c r="C1782" s="44">
        <v>14880</v>
      </c>
      <c r="D1782" s="153">
        <f t="shared" si="27"/>
        <v>0.93</v>
      </c>
      <c r="E1782" s="43">
        <v>26636.851520572451</v>
      </c>
      <c r="F1782" s="140">
        <v>3.9525074248178953</v>
      </c>
    </row>
    <row r="1783" spans="1:6">
      <c r="A1783" s="149" t="s">
        <v>2962</v>
      </c>
      <c r="B1783" s="144" t="s">
        <v>1839</v>
      </c>
      <c r="C1783" s="44">
        <v>14880</v>
      </c>
      <c r="D1783" s="153">
        <f t="shared" si="27"/>
        <v>0.93</v>
      </c>
      <c r="E1783" s="43">
        <v>26636.851520572451</v>
      </c>
      <c r="F1783" s="140">
        <v>3.9525074248178953</v>
      </c>
    </row>
    <row r="1784" spans="1:6">
      <c r="A1784" s="149" t="s">
        <v>2962</v>
      </c>
      <c r="B1784" s="144" t="s">
        <v>1840</v>
      </c>
      <c r="C1784" s="44">
        <v>14880</v>
      </c>
      <c r="D1784" s="153">
        <f t="shared" si="27"/>
        <v>0.93</v>
      </c>
      <c r="E1784" s="43">
        <v>26636.851520572451</v>
      </c>
      <c r="F1784" s="140">
        <v>3.9525074248178953</v>
      </c>
    </row>
    <row r="1785" spans="1:6">
      <c r="A1785" s="149" t="s">
        <v>2962</v>
      </c>
      <c r="B1785" s="144" t="s">
        <v>1841</v>
      </c>
      <c r="C1785" s="44">
        <v>14880</v>
      </c>
      <c r="D1785" s="153">
        <f t="shared" si="27"/>
        <v>0.93</v>
      </c>
      <c r="E1785" s="43">
        <v>26636.851520572451</v>
      </c>
      <c r="F1785" s="140">
        <v>3.9525074248178953</v>
      </c>
    </row>
    <row r="1786" spans="1:6">
      <c r="A1786" s="149" t="s">
        <v>2962</v>
      </c>
      <c r="B1786" s="144" t="s">
        <v>1842</v>
      </c>
      <c r="C1786" s="44">
        <v>14880</v>
      </c>
      <c r="D1786" s="153">
        <f t="shared" si="27"/>
        <v>0.93</v>
      </c>
      <c r="E1786" s="43">
        <v>26636.851520572451</v>
      </c>
      <c r="F1786" s="140">
        <v>3.9525074248178953</v>
      </c>
    </row>
    <row r="1787" spans="1:6">
      <c r="A1787" s="149" t="s">
        <v>2962</v>
      </c>
      <c r="B1787" s="144" t="s">
        <v>1843</v>
      </c>
      <c r="C1787" s="44">
        <v>14880</v>
      </c>
      <c r="D1787" s="153">
        <f t="shared" si="27"/>
        <v>0.93</v>
      </c>
      <c r="E1787" s="43">
        <v>26636.851520572451</v>
      </c>
      <c r="F1787" s="140">
        <v>3.9525074248178953</v>
      </c>
    </row>
    <row r="1788" spans="1:6">
      <c r="A1788" s="149" t="s">
        <v>2962</v>
      </c>
      <c r="B1788" s="144" t="s">
        <v>1844</v>
      </c>
      <c r="C1788" s="44">
        <v>14880</v>
      </c>
      <c r="D1788" s="153">
        <f t="shared" si="27"/>
        <v>0.93</v>
      </c>
      <c r="E1788" s="43">
        <v>26636.851520572451</v>
      </c>
      <c r="F1788" s="140">
        <v>3.9525074248178953</v>
      </c>
    </row>
    <row r="1789" spans="1:6">
      <c r="A1789" s="149" t="s">
        <v>2962</v>
      </c>
      <c r="B1789" s="144" t="s">
        <v>1845</v>
      </c>
      <c r="C1789" s="44">
        <v>14880</v>
      </c>
      <c r="D1789" s="153">
        <f t="shared" si="27"/>
        <v>0.93</v>
      </c>
      <c r="E1789" s="43">
        <v>26636.851520572451</v>
      </c>
      <c r="F1789" s="140">
        <v>3.9525074248178953</v>
      </c>
    </row>
    <row r="1790" spans="1:6">
      <c r="A1790" s="149" t="s">
        <v>2962</v>
      </c>
      <c r="B1790" s="144" t="s">
        <v>1846</v>
      </c>
      <c r="C1790" s="44">
        <v>14880</v>
      </c>
      <c r="D1790" s="153">
        <f t="shared" si="27"/>
        <v>0.93</v>
      </c>
      <c r="E1790" s="43">
        <v>26636.851520572451</v>
      </c>
      <c r="F1790" s="140">
        <v>3.9525074248178953</v>
      </c>
    </row>
    <row r="1791" spans="1:6">
      <c r="A1791" s="149" t="s">
        <v>2962</v>
      </c>
      <c r="B1791" s="144" t="s">
        <v>1847</v>
      </c>
      <c r="C1791" s="44">
        <v>14880</v>
      </c>
      <c r="D1791" s="153">
        <f t="shared" si="27"/>
        <v>0.93</v>
      </c>
      <c r="E1791" s="43">
        <v>26636.851520572451</v>
      </c>
      <c r="F1791" s="140">
        <v>3.9525074248178953</v>
      </c>
    </row>
    <row r="1792" spans="1:6">
      <c r="A1792" s="149" t="s">
        <v>2962</v>
      </c>
      <c r="B1792" s="144" t="s">
        <v>1848</v>
      </c>
      <c r="C1792" s="44">
        <v>14880</v>
      </c>
      <c r="D1792" s="153">
        <f t="shared" si="27"/>
        <v>0.93</v>
      </c>
      <c r="E1792" s="43">
        <v>26636.851520572451</v>
      </c>
      <c r="F1792" s="140">
        <v>3.9525074248178953</v>
      </c>
    </row>
    <row r="1793" spans="1:6">
      <c r="A1793" s="149" t="s">
        <v>2962</v>
      </c>
      <c r="B1793" s="144" t="s">
        <v>1849</v>
      </c>
      <c r="C1793" s="44">
        <v>14880</v>
      </c>
      <c r="D1793" s="153">
        <f t="shared" si="27"/>
        <v>0.93</v>
      </c>
      <c r="E1793" s="43">
        <v>26636.851520572451</v>
      </c>
      <c r="F1793" s="140">
        <v>3.9525074248178953</v>
      </c>
    </row>
    <row r="1794" spans="1:6">
      <c r="A1794" s="149" t="s">
        <v>2962</v>
      </c>
      <c r="B1794" s="144" t="s">
        <v>1850</v>
      </c>
      <c r="C1794" s="44">
        <v>14880</v>
      </c>
      <c r="D1794" s="153">
        <f t="shared" si="27"/>
        <v>0.93</v>
      </c>
      <c r="E1794" s="43">
        <v>26636.851520572451</v>
      </c>
      <c r="F1794" s="140">
        <v>3.9525074248178953</v>
      </c>
    </row>
    <row r="1795" spans="1:6">
      <c r="A1795" s="149" t="s">
        <v>2962</v>
      </c>
      <c r="B1795" s="144" t="s">
        <v>1851</v>
      </c>
      <c r="C1795" s="44">
        <v>14880</v>
      </c>
      <c r="D1795" s="153">
        <f t="shared" si="27"/>
        <v>0.93</v>
      </c>
      <c r="E1795" s="43">
        <v>26636.851520572451</v>
      </c>
      <c r="F1795" s="140">
        <v>3.9525074248178953</v>
      </c>
    </row>
    <row r="1796" spans="1:6">
      <c r="A1796" s="149" t="s">
        <v>2962</v>
      </c>
      <c r="B1796" s="144" t="s">
        <v>1852</v>
      </c>
      <c r="C1796" s="44">
        <v>14880</v>
      </c>
      <c r="D1796" s="153">
        <f t="shared" si="27"/>
        <v>0.93</v>
      </c>
      <c r="E1796" s="43">
        <v>26636.851520572451</v>
      </c>
      <c r="F1796" s="140">
        <v>3.9525074248178953</v>
      </c>
    </row>
    <row r="1797" spans="1:6">
      <c r="A1797" s="149" t="s">
        <v>2962</v>
      </c>
      <c r="B1797" s="144" t="s">
        <v>1853</v>
      </c>
      <c r="C1797" s="44">
        <v>14880</v>
      </c>
      <c r="D1797" s="153">
        <f t="shared" si="27"/>
        <v>0.93</v>
      </c>
      <c r="E1797" s="43">
        <v>26636.851520572451</v>
      </c>
      <c r="F1797" s="140">
        <v>3.9525074248178953</v>
      </c>
    </row>
    <row r="1798" spans="1:6">
      <c r="A1798" s="149" t="s">
        <v>2962</v>
      </c>
      <c r="B1798" s="144" t="s">
        <v>1854</v>
      </c>
      <c r="C1798" s="44">
        <v>14880</v>
      </c>
      <c r="D1798" s="153">
        <f t="shared" si="27"/>
        <v>0.93</v>
      </c>
      <c r="E1798" s="43">
        <v>26636.851520572451</v>
      </c>
      <c r="F1798" s="140">
        <v>3.9525074248178953</v>
      </c>
    </row>
    <row r="1799" spans="1:6">
      <c r="A1799" s="149" t="s">
        <v>2962</v>
      </c>
      <c r="B1799" s="144" t="s">
        <v>1855</v>
      </c>
      <c r="C1799" s="44">
        <v>14880</v>
      </c>
      <c r="D1799" s="153">
        <f t="shared" ref="D1799:D1862" si="28">C1799/32768*4.096/2</f>
        <v>0.93</v>
      </c>
      <c r="E1799" s="43">
        <v>26636.851520572451</v>
      </c>
      <c r="F1799" s="140">
        <v>3.9525074248178953</v>
      </c>
    </row>
    <row r="1800" spans="1:6">
      <c r="A1800" s="149" t="s">
        <v>2962</v>
      </c>
      <c r="B1800" s="144" t="s">
        <v>1856</v>
      </c>
      <c r="C1800" s="44">
        <v>14880</v>
      </c>
      <c r="D1800" s="153">
        <f t="shared" si="28"/>
        <v>0.93</v>
      </c>
      <c r="E1800" s="43">
        <v>26636.851520572451</v>
      </c>
      <c r="F1800" s="140">
        <v>3.9525074248178953</v>
      </c>
    </row>
    <row r="1801" spans="1:6">
      <c r="A1801" s="149" t="s">
        <v>2962</v>
      </c>
      <c r="B1801" s="144" t="s">
        <v>1857</v>
      </c>
      <c r="C1801" s="44">
        <v>14879</v>
      </c>
      <c r="D1801" s="153">
        <f t="shared" si="28"/>
        <v>0.92993749999999997</v>
      </c>
      <c r="E1801" s="43">
        <v>26634.8035105372</v>
      </c>
      <c r="F1801" s="140">
        <v>3.954052384541626</v>
      </c>
    </row>
    <row r="1802" spans="1:6">
      <c r="A1802" s="149" t="s">
        <v>2962</v>
      </c>
      <c r="B1802" s="144" t="s">
        <v>1858</v>
      </c>
      <c r="C1802" s="44">
        <v>14879</v>
      </c>
      <c r="D1802" s="153">
        <f t="shared" si="28"/>
        <v>0.92993749999999997</v>
      </c>
      <c r="E1802" s="43">
        <v>26634.8035105372</v>
      </c>
      <c r="F1802" s="140">
        <v>3.954052384541626</v>
      </c>
    </row>
    <row r="1803" spans="1:6">
      <c r="A1803" s="149" t="s">
        <v>2962</v>
      </c>
      <c r="B1803" s="144" t="s">
        <v>1859</v>
      </c>
      <c r="C1803" s="44">
        <v>14879</v>
      </c>
      <c r="D1803" s="153">
        <f t="shared" si="28"/>
        <v>0.92993749999999997</v>
      </c>
      <c r="E1803" s="43">
        <v>26634.8035105372</v>
      </c>
      <c r="F1803" s="140">
        <v>3.954052384541626</v>
      </c>
    </row>
    <row r="1804" spans="1:6">
      <c r="A1804" s="149" t="s">
        <v>2962</v>
      </c>
      <c r="B1804" s="144" t="s">
        <v>1860</v>
      </c>
      <c r="C1804" s="44">
        <v>14879</v>
      </c>
      <c r="D1804" s="153">
        <f t="shared" si="28"/>
        <v>0.92993749999999997</v>
      </c>
      <c r="E1804" s="43">
        <v>26634.8035105372</v>
      </c>
      <c r="F1804" s="140">
        <v>3.954052384541626</v>
      </c>
    </row>
    <row r="1805" spans="1:6">
      <c r="A1805" s="149" t="s">
        <v>2962</v>
      </c>
      <c r="B1805" s="144" t="s">
        <v>1861</v>
      </c>
      <c r="C1805" s="44">
        <v>14880</v>
      </c>
      <c r="D1805" s="153">
        <f t="shared" si="28"/>
        <v>0.93</v>
      </c>
      <c r="E1805" s="43">
        <v>26636.851520572451</v>
      </c>
      <c r="F1805" s="140">
        <v>3.9525074248178953</v>
      </c>
    </row>
    <row r="1806" spans="1:6">
      <c r="A1806" s="149" t="s">
        <v>2962</v>
      </c>
      <c r="B1806" s="144" t="s">
        <v>1862</v>
      </c>
      <c r="C1806" s="44">
        <v>14879</v>
      </c>
      <c r="D1806" s="153">
        <f t="shared" si="28"/>
        <v>0.92993749999999997</v>
      </c>
      <c r="E1806" s="43">
        <v>26634.8035105372</v>
      </c>
      <c r="F1806" s="140">
        <v>3.954052384541626</v>
      </c>
    </row>
    <row r="1807" spans="1:6">
      <c r="A1807" s="149" t="s">
        <v>2962</v>
      </c>
      <c r="B1807" s="144" t="s">
        <v>1863</v>
      </c>
      <c r="C1807" s="44">
        <v>14879</v>
      </c>
      <c r="D1807" s="153">
        <f t="shared" si="28"/>
        <v>0.92993749999999997</v>
      </c>
      <c r="E1807" s="43">
        <v>26634.8035105372</v>
      </c>
      <c r="F1807" s="140">
        <v>3.954052384541626</v>
      </c>
    </row>
    <row r="1808" spans="1:6">
      <c r="A1808" s="149" t="s">
        <v>2962</v>
      </c>
      <c r="B1808" s="144" t="s">
        <v>1864</v>
      </c>
      <c r="C1808" s="44">
        <v>14879</v>
      </c>
      <c r="D1808" s="153">
        <f t="shared" si="28"/>
        <v>0.92993749999999997</v>
      </c>
      <c r="E1808" s="43">
        <v>26634.8035105372</v>
      </c>
      <c r="F1808" s="140">
        <v>3.954052384541626</v>
      </c>
    </row>
    <row r="1809" spans="1:6">
      <c r="A1809" s="149" t="s">
        <v>2962</v>
      </c>
      <c r="B1809" s="144" t="s">
        <v>1865</v>
      </c>
      <c r="C1809" s="44">
        <v>14879</v>
      </c>
      <c r="D1809" s="153">
        <f t="shared" si="28"/>
        <v>0.92993749999999997</v>
      </c>
      <c r="E1809" s="43">
        <v>26634.8035105372</v>
      </c>
      <c r="F1809" s="140">
        <v>3.954052384541626</v>
      </c>
    </row>
    <row r="1810" spans="1:6">
      <c r="A1810" s="149" t="s">
        <v>2962</v>
      </c>
      <c r="B1810" s="144" t="s">
        <v>1866</v>
      </c>
      <c r="C1810" s="44">
        <v>14879</v>
      </c>
      <c r="D1810" s="153">
        <f t="shared" si="28"/>
        <v>0.92993749999999997</v>
      </c>
      <c r="E1810" s="43">
        <v>26634.8035105372</v>
      </c>
      <c r="F1810" s="140">
        <v>3.954052384541626</v>
      </c>
    </row>
    <row r="1811" spans="1:6">
      <c r="A1811" s="149" t="s">
        <v>2962</v>
      </c>
      <c r="B1811" s="144" t="s">
        <v>1867</v>
      </c>
      <c r="C1811" s="44">
        <v>14879</v>
      </c>
      <c r="D1811" s="153">
        <f t="shared" si="28"/>
        <v>0.92993749999999997</v>
      </c>
      <c r="E1811" s="43">
        <v>26634.8035105372</v>
      </c>
      <c r="F1811" s="140">
        <v>3.954052384541626</v>
      </c>
    </row>
    <row r="1812" spans="1:6">
      <c r="A1812" s="149" t="s">
        <v>2962</v>
      </c>
      <c r="B1812" s="144" t="s">
        <v>1868</v>
      </c>
      <c r="C1812" s="44">
        <v>14879</v>
      </c>
      <c r="D1812" s="153">
        <f t="shared" si="28"/>
        <v>0.92993749999999997</v>
      </c>
      <c r="E1812" s="43">
        <v>26634.8035105372</v>
      </c>
      <c r="F1812" s="140">
        <v>3.954052384541626</v>
      </c>
    </row>
    <row r="1813" spans="1:6">
      <c r="A1813" s="149" t="s">
        <v>2962</v>
      </c>
      <c r="B1813" s="144" t="s">
        <v>1869</v>
      </c>
      <c r="C1813" s="44">
        <v>14879</v>
      </c>
      <c r="D1813" s="153">
        <f t="shared" si="28"/>
        <v>0.92993749999999997</v>
      </c>
      <c r="E1813" s="43">
        <v>26634.8035105372</v>
      </c>
      <c r="F1813" s="140">
        <v>3.954052384541626</v>
      </c>
    </row>
    <row r="1814" spans="1:6">
      <c r="A1814" s="149" t="s">
        <v>2962</v>
      </c>
      <c r="B1814" s="144" t="s">
        <v>1870</v>
      </c>
      <c r="C1814" s="44">
        <v>14879</v>
      </c>
      <c r="D1814" s="153">
        <f t="shared" si="28"/>
        <v>0.92993749999999997</v>
      </c>
      <c r="E1814" s="43">
        <v>26634.8035105372</v>
      </c>
      <c r="F1814" s="140">
        <v>3.954052384541626</v>
      </c>
    </row>
    <row r="1815" spans="1:6">
      <c r="A1815" s="149" t="s">
        <v>2962</v>
      </c>
      <c r="B1815" s="144" t="s">
        <v>1871</v>
      </c>
      <c r="C1815" s="44">
        <v>14879</v>
      </c>
      <c r="D1815" s="153">
        <f t="shared" si="28"/>
        <v>0.92993749999999997</v>
      </c>
      <c r="E1815" s="43">
        <v>26634.8035105372</v>
      </c>
      <c r="F1815" s="140">
        <v>3.954052384541626</v>
      </c>
    </row>
    <row r="1816" spans="1:6">
      <c r="A1816" s="149" t="s">
        <v>2962</v>
      </c>
      <c r="B1816" s="144" t="s">
        <v>1872</v>
      </c>
      <c r="C1816" s="44">
        <v>14879</v>
      </c>
      <c r="D1816" s="153">
        <f t="shared" si="28"/>
        <v>0.92993749999999997</v>
      </c>
      <c r="E1816" s="43">
        <v>26634.8035105372</v>
      </c>
      <c r="F1816" s="140">
        <v>3.954052384541626</v>
      </c>
    </row>
    <row r="1817" spans="1:6">
      <c r="A1817" s="149" t="s">
        <v>2962</v>
      </c>
      <c r="B1817" s="144" t="s">
        <v>1873</v>
      </c>
      <c r="C1817" s="44">
        <v>14879</v>
      </c>
      <c r="D1817" s="153">
        <f t="shared" si="28"/>
        <v>0.92993749999999997</v>
      </c>
      <c r="E1817" s="43">
        <v>26634.8035105372</v>
      </c>
      <c r="F1817" s="140">
        <v>3.954052384541626</v>
      </c>
    </row>
    <row r="1818" spans="1:6">
      <c r="A1818" s="149" t="s">
        <v>2962</v>
      </c>
      <c r="B1818" s="144" t="s">
        <v>1874</v>
      </c>
      <c r="C1818" s="44">
        <v>14879</v>
      </c>
      <c r="D1818" s="153">
        <f t="shared" si="28"/>
        <v>0.92993749999999997</v>
      </c>
      <c r="E1818" s="43">
        <v>26634.8035105372</v>
      </c>
      <c r="F1818" s="140">
        <v>3.954052384541626</v>
      </c>
    </row>
    <row r="1819" spans="1:6">
      <c r="A1819" s="149" t="s">
        <v>2962</v>
      </c>
      <c r="B1819" s="144" t="s">
        <v>1875</v>
      </c>
      <c r="C1819" s="44">
        <v>14879</v>
      </c>
      <c r="D1819" s="153">
        <f t="shared" si="28"/>
        <v>0.92993749999999997</v>
      </c>
      <c r="E1819" s="43">
        <v>26634.8035105372</v>
      </c>
      <c r="F1819" s="140">
        <v>3.954052384541626</v>
      </c>
    </row>
    <row r="1820" spans="1:6">
      <c r="A1820" s="149" t="s">
        <v>2962</v>
      </c>
      <c r="B1820" s="144" t="s">
        <v>1876</v>
      </c>
      <c r="C1820" s="44">
        <v>14879</v>
      </c>
      <c r="D1820" s="153">
        <f t="shared" si="28"/>
        <v>0.92993749999999997</v>
      </c>
      <c r="E1820" s="43">
        <v>26634.8035105372</v>
      </c>
      <c r="F1820" s="140">
        <v>3.954052384541626</v>
      </c>
    </row>
    <row r="1821" spans="1:6">
      <c r="A1821" s="149" t="s">
        <v>2962</v>
      </c>
      <c r="B1821" s="144" t="s">
        <v>1877</v>
      </c>
      <c r="C1821" s="44">
        <v>14879</v>
      </c>
      <c r="D1821" s="153">
        <f t="shared" si="28"/>
        <v>0.92993749999999997</v>
      </c>
      <c r="E1821" s="43">
        <v>26634.8035105372</v>
      </c>
      <c r="F1821" s="140">
        <v>3.954052384541626</v>
      </c>
    </row>
    <row r="1822" spans="1:6">
      <c r="A1822" s="149" t="s">
        <v>2962</v>
      </c>
      <c r="B1822" s="144" t="s">
        <v>1878</v>
      </c>
      <c r="C1822" s="44">
        <v>14879</v>
      </c>
      <c r="D1822" s="153">
        <f t="shared" si="28"/>
        <v>0.92993749999999997</v>
      </c>
      <c r="E1822" s="43">
        <v>26634.8035105372</v>
      </c>
      <c r="F1822" s="140">
        <v>3.954052384541626</v>
      </c>
    </row>
    <row r="1823" spans="1:6">
      <c r="A1823" s="149" t="s">
        <v>2962</v>
      </c>
      <c r="B1823" s="144" t="s">
        <v>1879</v>
      </c>
      <c r="C1823" s="44">
        <v>14879</v>
      </c>
      <c r="D1823" s="153">
        <f t="shared" si="28"/>
        <v>0.92993749999999997</v>
      </c>
      <c r="E1823" s="43">
        <v>26634.8035105372</v>
      </c>
      <c r="F1823" s="140">
        <v>3.954052384541626</v>
      </c>
    </row>
    <row r="1824" spans="1:6">
      <c r="A1824" s="149" t="s">
        <v>2962</v>
      </c>
      <c r="B1824" s="144" t="s">
        <v>1880</v>
      </c>
      <c r="C1824" s="44">
        <v>14879</v>
      </c>
      <c r="D1824" s="153">
        <f t="shared" si="28"/>
        <v>0.92993749999999997</v>
      </c>
      <c r="E1824" s="43">
        <v>26634.8035105372</v>
      </c>
      <c r="F1824" s="140">
        <v>3.954052384541626</v>
      </c>
    </row>
    <row r="1825" spans="1:6">
      <c r="A1825" s="149" t="s">
        <v>2962</v>
      </c>
      <c r="B1825" s="144" t="s">
        <v>1881</v>
      </c>
      <c r="C1825" s="44">
        <v>14879</v>
      </c>
      <c r="D1825" s="153">
        <f t="shared" si="28"/>
        <v>0.92993749999999997</v>
      </c>
      <c r="E1825" s="43">
        <v>26634.8035105372</v>
      </c>
      <c r="F1825" s="140">
        <v>3.954052384541626</v>
      </c>
    </row>
    <row r="1826" spans="1:6">
      <c r="A1826" s="149" t="s">
        <v>2962</v>
      </c>
      <c r="B1826" s="144" t="s">
        <v>1882</v>
      </c>
      <c r="C1826" s="44">
        <v>14879</v>
      </c>
      <c r="D1826" s="153">
        <f t="shared" si="28"/>
        <v>0.92993749999999997</v>
      </c>
      <c r="E1826" s="43">
        <v>26634.8035105372</v>
      </c>
      <c r="F1826" s="140">
        <v>3.954052384541626</v>
      </c>
    </row>
    <row r="1827" spans="1:6">
      <c r="A1827" s="149" t="s">
        <v>2962</v>
      </c>
      <c r="B1827" s="144" t="s">
        <v>1883</v>
      </c>
      <c r="C1827" s="44">
        <v>14879</v>
      </c>
      <c r="D1827" s="153">
        <f t="shared" si="28"/>
        <v>0.92993749999999997</v>
      </c>
      <c r="E1827" s="43">
        <v>26634.8035105372</v>
      </c>
      <c r="F1827" s="140">
        <v>3.954052384541626</v>
      </c>
    </row>
    <row r="1828" spans="1:6">
      <c r="A1828" s="149" t="s">
        <v>2962</v>
      </c>
      <c r="B1828" s="144" t="s">
        <v>1884</v>
      </c>
      <c r="C1828" s="44">
        <v>14879</v>
      </c>
      <c r="D1828" s="153">
        <f t="shared" si="28"/>
        <v>0.92993749999999997</v>
      </c>
      <c r="E1828" s="43">
        <v>26634.8035105372</v>
      </c>
      <c r="F1828" s="140">
        <v>3.954052384541626</v>
      </c>
    </row>
    <row r="1829" spans="1:6">
      <c r="A1829" s="149" t="s">
        <v>2962</v>
      </c>
      <c r="B1829" s="144" t="s">
        <v>1885</v>
      </c>
      <c r="C1829" s="44">
        <v>14879</v>
      </c>
      <c r="D1829" s="153">
        <f t="shared" si="28"/>
        <v>0.92993749999999997</v>
      </c>
      <c r="E1829" s="43">
        <v>26634.8035105372</v>
      </c>
      <c r="F1829" s="140">
        <v>3.954052384541626</v>
      </c>
    </row>
    <row r="1830" spans="1:6">
      <c r="A1830" s="149" t="s">
        <v>2962</v>
      </c>
      <c r="B1830" s="144" t="s">
        <v>1886</v>
      </c>
      <c r="C1830" s="44">
        <v>14879</v>
      </c>
      <c r="D1830" s="153">
        <f t="shared" si="28"/>
        <v>0.92993749999999997</v>
      </c>
      <c r="E1830" s="43">
        <v>26634.8035105372</v>
      </c>
      <c r="F1830" s="140">
        <v>3.954052384541626</v>
      </c>
    </row>
    <row r="1831" spans="1:6">
      <c r="A1831" s="149" t="s">
        <v>2962</v>
      </c>
      <c r="B1831" s="144" t="s">
        <v>1887</v>
      </c>
      <c r="C1831" s="44">
        <v>14879</v>
      </c>
      <c r="D1831" s="153">
        <f t="shared" si="28"/>
        <v>0.92993749999999997</v>
      </c>
      <c r="E1831" s="43">
        <v>26634.8035105372</v>
      </c>
      <c r="F1831" s="140">
        <v>3.954052384541626</v>
      </c>
    </row>
    <row r="1832" spans="1:6">
      <c r="A1832" s="149" t="s">
        <v>2962</v>
      </c>
      <c r="B1832" s="144" t="s">
        <v>1888</v>
      </c>
      <c r="C1832" s="44">
        <v>14879</v>
      </c>
      <c r="D1832" s="153">
        <f t="shared" si="28"/>
        <v>0.92993749999999997</v>
      </c>
      <c r="E1832" s="43">
        <v>26634.8035105372</v>
      </c>
      <c r="F1832" s="140">
        <v>3.954052384541626</v>
      </c>
    </row>
    <row r="1833" spans="1:6">
      <c r="A1833" s="149" t="s">
        <v>2962</v>
      </c>
      <c r="B1833" s="144" t="s">
        <v>1889</v>
      </c>
      <c r="C1833" s="44">
        <v>14879</v>
      </c>
      <c r="D1833" s="153">
        <f t="shared" si="28"/>
        <v>0.92993749999999997</v>
      </c>
      <c r="E1833" s="43">
        <v>26634.8035105372</v>
      </c>
      <c r="F1833" s="140">
        <v>3.954052384541626</v>
      </c>
    </row>
    <row r="1834" spans="1:6">
      <c r="A1834" s="149" t="s">
        <v>2962</v>
      </c>
      <c r="B1834" s="144" t="s">
        <v>1890</v>
      </c>
      <c r="C1834" s="44">
        <v>14879</v>
      </c>
      <c r="D1834" s="153">
        <f t="shared" si="28"/>
        <v>0.92993749999999997</v>
      </c>
      <c r="E1834" s="43">
        <v>26634.8035105372</v>
      </c>
      <c r="F1834" s="140">
        <v>3.954052384541626</v>
      </c>
    </row>
    <row r="1835" spans="1:6">
      <c r="A1835" s="149" t="s">
        <v>2962</v>
      </c>
      <c r="B1835" s="144" t="s">
        <v>1891</v>
      </c>
      <c r="C1835" s="44">
        <v>14879</v>
      </c>
      <c r="D1835" s="153">
        <f t="shared" si="28"/>
        <v>0.92993749999999997</v>
      </c>
      <c r="E1835" s="43">
        <v>26634.8035105372</v>
      </c>
      <c r="F1835" s="140">
        <v>3.954052384541626</v>
      </c>
    </row>
    <row r="1836" spans="1:6">
      <c r="A1836" s="149" t="s">
        <v>2962</v>
      </c>
      <c r="B1836" s="144" t="s">
        <v>1892</v>
      </c>
      <c r="C1836" s="44">
        <v>14879</v>
      </c>
      <c r="D1836" s="153">
        <f t="shared" si="28"/>
        <v>0.92993749999999997</v>
      </c>
      <c r="E1836" s="43">
        <v>26634.8035105372</v>
      </c>
      <c r="F1836" s="140">
        <v>3.954052384541626</v>
      </c>
    </row>
    <row r="1837" spans="1:6">
      <c r="A1837" s="149" t="s">
        <v>2962</v>
      </c>
      <c r="B1837" s="144" t="s">
        <v>1893</v>
      </c>
      <c r="C1837" s="44">
        <v>14879</v>
      </c>
      <c r="D1837" s="153">
        <f t="shared" si="28"/>
        <v>0.92993749999999997</v>
      </c>
      <c r="E1837" s="43">
        <v>26634.8035105372</v>
      </c>
      <c r="F1837" s="140">
        <v>3.954052384541626</v>
      </c>
    </row>
    <row r="1838" spans="1:6">
      <c r="A1838" s="149" t="s">
        <v>2962</v>
      </c>
      <c r="B1838" s="144" t="s">
        <v>1894</v>
      </c>
      <c r="C1838" s="44">
        <v>14879</v>
      </c>
      <c r="D1838" s="153">
        <f t="shared" si="28"/>
        <v>0.92993749999999997</v>
      </c>
      <c r="E1838" s="43">
        <v>26634.8035105372</v>
      </c>
      <c r="F1838" s="140">
        <v>3.954052384541626</v>
      </c>
    </row>
    <row r="1839" spans="1:6">
      <c r="A1839" s="149" t="s">
        <v>2962</v>
      </c>
      <c r="B1839" s="144" t="s">
        <v>1895</v>
      </c>
      <c r="C1839" s="44">
        <v>14879</v>
      </c>
      <c r="D1839" s="153">
        <f t="shared" si="28"/>
        <v>0.92993749999999997</v>
      </c>
      <c r="E1839" s="43">
        <v>26634.8035105372</v>
      </c>
      <c r="F1839" s="140">
        <v>3.954052384541626</v>
      </c>
    </row>
    <row r="1840" spans="1:6">
      <c r="A1840" s="149" t="s">
        <v>2962</v>
      </c>
      <c r="B1840" s="144" t="s">
        <v>1896</v>
      </c>
      <c r="C1840" s="44">
        <v>14879</v>
      </c>
      <c r="D1840" s="153">
        <f t="shared" si="28"/>
        <v>0.92993749999999997</v>
      </c>
      <c r="E1840" s="43">
        <v>26634.8035105372</v>
      </c>
      <c r="F1840" s="140">
        <v>3.954052384541626</v>
      </c>
    </row>
    <row r="1841" spans="1:6">
      <c r="A1841" s="149" t="s">
        <v>2962</v>
      </c>
      <c r="B1841" s="144" t="s">
        <v>1897</v>
      </c>
      <c r="C1841" s="44">
        <v>14879</v>
      </c>
      <c r="D1841" s="153">
        <f t="shared" si="28"/>
        <v>0.92993749999999997</v>
      </c>
      <c r="E1841" s="43">
        <v>26634.8035105372</v>
      </c>
      <c r="F1841" s="140">
        <v>3.954052384541626</v>
      </c>
    </row>
    <row r="1842" spans="1:6">
      <c r="A1842" s="149" t="s">
        <v>2962</v>
      </c>
      <c r="B1842" s="144" t="s">
        <v>1898</v>
      </c>
      <c r="C1842" s="44">
        <v>14879</v>
      </c>
      <c r="D1842" s="153">
        <f t="shared" si="28"/>
        <v>0.92993749999999997</v>
      </c>
      <c r="E1842" s="43">
        <v>26634.8035105372</v>
      </c>
      <c r="F1842" s="140">
        <v>3.954052384541626</v>
      </c>
    </row>
    <row r="1843" spans="1:6">
      <c r="A1843" s="149" t="s">
        <v>2962</v>
      </c>
      <c r="B1843" s="144" t="s">
        <v>1899</v>
      </c>
      <c r="C1843" s="44">
        <v>14879</v>
      </c>
      <c r="D1843" s="153">
        <f t="shared" si="28"/>
        <v>0.92993749999999997</v>
      </c>
      <c r="E1843" s="43">
        <v>26634.8035105372</v>
      </c>
      <c r="F1843" s="140">
        <v>3.954052384541626</v>
      </c>
    </row>
    <row r="1844" spans="1:6">
      <c r="A1844" s="149" t="s">
        <v>2962</v>
      </c>
      <c r="B1844" s="144" t="s">
        <v>1900</v>
      </c>
      <c r="C1844" s="44">
        <v>14879</v>
      </c>
      <c r="D1844" s="153">
        <f t="shared" si="28"/>
        <v>0.92993749999999997</v>
      </c>
      <c r="E1844" s="43">
        <v>26634.8035105372</v>
      </c>
      <c r="F1844" s="140">
        <v>3.954052384541626</v>
      </c>
    </row>
    <row r="1845" spans="1:6">
      <c r="A1845" s="149" t="s">
        <v>2962</v>
      </c>
      <c r="B1845" s="144" t="s">
        <v>1901</v>
      </c>
      <c r="C1845" s="44">
        <v>14879</v>
      </c>
      <c r="D1845" s="153">
        <f t="shared" si="28"/>
        <v>0.92993749999999997</v>
      </c>
      <c r="E1845" s="43">
        <v>26634.8035105372</v>
      </c>
      <c r="F1845" s="140">
        <v>3.954052384541626</v>
      </c>
    </row>
    <row r="1846" spans="1:6">
      <c r="A1846" s="149" t="s">
        <v>2962</v>
      </c>
      <c r="B1846" s="144" t="s">
        <v>1902</v>
      </c>
      <c r="C1846" s="44">
        <v>14879</v>
      </c>
      <c r="D1846" s="153">
        <f t="shared" si="28"/>
        <v>0.92993749999999997</v>
      </c>
      <c r="E1846" s="43">
        <v>26634.8035105372</v>
      </c>
      <c r="F1846" s="140">
        <v>3.954052384541626</v>
      </c>
    </row>
    <row r="1847" spans="1:6">
      <c r="A1847" s="149" t="s">
        <v>2962</v>
      </c>
      <c r="B1847" s="144" t="s">
        <v>1903</v>
      </c>
      <c r="C1847" s="44">
        <v>14879</v>
      </c>
      <c r="D1847" s="153">
        <f t="shared" si="28"/>
        <v>0.92993749999999997</v>
      </c>
      <c r="E1847" s="43">
        <v>26634.8035105372</v>
      </c>
      <c r="F1847" s="140">
        <v>3.954052384541626</v>
      </c>
    </row>
    <row r="1848" spans="1:6">
      <c r="A1848" s="149" t="s">
        <v>2962</v>
      </c>
      <c r="B1848" s="144" t="s">
        <v>1904</v>
      </c>
      <c r="C1848" s="44">
        <v>14879</v>
      </c>
      <c r="D1848" s="153">
        <f t="shared" si="28"/>
        <v>0.92993749999999997</v>
      </c>
      <c r="E1848" s="43">
        <v>26634.8035105372</v>
      </c>
      <c r="F1848" s="140">
        <v>3.954052384541626</v>
      </c>
    </row>
    <row r="1849" spans="1:6">
      <c r="A1849" s="149" t="s">
        <v>2962</v>
      </c>
      <c r="B1849" s="144" t="s">
        <v>1905</v>
      </c>
      <c r="C1849" s="44">
        <v>14879</v>
      </c>
      <c r="D1849" s="153">
        <f t="shared" si="28"/>
        <v>0.92993749999999997</v>
      </c>
      <c r="E1849" s="43">
        <v>26634.8035105372</v>
      </c>
      <c r="F1849" s="140">
        <v>3.954052384541626</v>
      </c>
    </row>
    <row r="1850" spans="1:6">
      <c r="A1850" s="149" t="s">
        <v>2962</v>
      </c>
      <c r="B1850" s="144" t="s">
        <v>1906</v>
      </c>
      <c r="C1850" s="44">
        <v>14879</v>
      </c>
      <c r="D1850" s="153">
        <f t="shared" si="28"/>
        <v>0.92993749999999997</v>
      </c>
      <c r="E1850" s="43">
        <v>26634.8035105372</v>
      </c>
      <c r="F1850" s="140">
        <v>3.954052384541626</v>
      </c>
    </row>
    <row r="1851" spans="1:6">
      <c r="A1851" s="149" t="s">
        <v>2962</v>
      </c>
      <c r="B1851" s="144" t="s">
        <v>1907</v>
      </c>
      <c r="C1851" s="44">
        <v>14879</v>
      </c>
      <c r="D1851" s="153">
        <f t="shared" si="28"/>
        <v>0.92993749999999997</v>
      </c>
      <c r="E1851" s="43">
        <v>26634.8035105372</v>
      </c>
      <c r="F1851" s="140">
        <v>3.954052384541626</v>
      </c>
    </row>
    <row r="1852" spans="1:6">
      <c r="A1852" s="149" t="s">
        <v>2962</v>
      </c>
      <c r="B1852" s="144" t="s">
        <v>1908</v>
      </c>
      <c r="C1852" s="44">
        <v>14879</v>
      </c>
      <c r="D1852" s="153">
        <f t="shared" si="28"/>
        <v>0.92993749999999997</v>
      </c>
      <c r="E1852" s="43">
        <v>26634.8035105372</v>
      </c>
      <c r="F1852" s="140">
        <v>3.954052384541626</v>
      </c>
    </row>
    <row r="1853" spans="1:6">
      <c r="A1853" s="149" t="s">
        <v>2962</v>
      </c>
      <c r="B1853" s="144" t="s">
        <v>1909</v>
      </c>
      <c r="C1853" s="44">
        <v>14879</v>
      </c>
      <c r="D1853" s="153">
        <f t="shared" si="28"/>
        <v>0.92993749999999997</v>
      </c>
      <c r="E1853" s="43">
        <v>26634.8035105372</v>
      </c>
      <c r="F1853" s="140">
        <v>3.954052384541626</v>
      </c>
    </row>
    <row r="1854" spans="1:6">
      <c r="A1854" s="149" t="s">
        <v>2962</v>
      </c>
      <c r="B1854" s="144" t="s">
        <v>1910</v>
      </c>
      <c r="C1854" s="44">
        <v>14879</v>
      </c>
      <c r="D1854" s="153">
        <f t="shared" si="28"/>
        <v>0.92993749999999997</v>
      </c>
      <c r="E1854" s="43">
        <v>26634.8035105372</v>
      </c>
      <c r="F1854" s="140">
        <v>3.954052384541626</v>
      </c>
    </row>
    <row r="1855" spans="1:6">
      <c r="A1855" s="149" t="s">
        <v>2962</v>
      </c>
      <c r="B1855" s="144" t="s">
        <v>1911</v>
      </c>
      <c r="C1855" s="44">
        <v>14879</v>
      </c>
      <c r="D1855" s="153">
        <f t="shared" si="28"/>
        <v>0.92993749999999997</v>
      </c>
      <c r="E1855" s="43">
        <v>26634.8035105372</v>
      </c>
      <c r="F1855" s="140">
        <v>3.954052384541626</v>
      </c>
    </row>
    <row r="1856" spans="1:6">
      <c r="A1856" s="149" t="s">
        <v>2962</v>
      </c>
      <c r="B1856" s="144" t="s">
        <v>1912</v>
      </c>
      <c r="C1856" s="44">
        <v>14879</v>
      </c>
      <c r="D1856" s="153">
        <f t="shared" si="28"/>
        <v>0.92993749999999997</v>
      </c>
      <c r="E1856" s="43">
        <v>26634.8035105372</v>
      </c>
      <c r="F1856" s="140">
        <v>3.954052384541626</v>
      </c>
    </row>
    <row r="1857" spans="1:6">
      <c r="A1857" s="149" t="s">
        <v>2962</v>
      </c>
      <c r="B1857" s="144" t="s">
        <v>1913</v>
      </c>
      <c r="C1857" s="44">
        <v>14879</v>
      </c>
      <c r="D1857" s="153">
        <f t="shared" si="28"/>
        <v>0.92993749999999997</v>
      </c>
      <c r="E1857" s="43">
        <v>26634.8035105372</v>
      </c>
      <c r="F1857" s="140">
        <v>3.954052384541626</v>
      </c>
    </row>
    <row r="1858" spans="1:6">
      <c r="A1858" s="149" t="s">
        <v>2962</v>
      </c>
      <c r="B1858" s="144" t="s">
        <v>1914</v>
      </c>
      <c r="C1858" s="44">
        <v>14879</v>
      </c>
      <c r="D1858" s="153">
        <f t="shared" si="28"/>
        <v>0.92993749999999997</v>
      </c>
      <c r="E1858" s="43">
        <v>26634.8035105372</v>
      </c>
      <c r="F1858" s="140">
        <v>3.954052384541626</v>
      </c>
    </row>
    <row r="1859" spans="1:6">
      <c r="A1859" s="149" t="s">
        <v>2962</v>
      </c>
      <c r="B1859" s="144" t="s">
        <v>1915</v>
      </c>
      <c r="C1859" s="44">
        <v>14879</v>
      </c>
      <c r="D1859" s="153">
        <f t="shared" si="28"/>
        <v>0.92993749999999997</v>
      </c>
      <c r="E1859" s="43">
        <v>26634.8035105372</v>
      </c>
      <c r="F1859" s="140">
        <v>3.954052384541626</v>
      </c>
    </row>
    <row r="1860" spans="1:6">
      <c r="A1860" s="149" t="s">
        <v>2962</v>
      </c>
      <c r="B1860" s="144" t="s">
        <v>1916</v>
      </c>
      <c r="C1860" s="44">
        <v>14879</v>
      </c>
      <c r="D1860" s="153">
        <f t="shared" si="28"/>
        <v>0.92993749999999997</v>
      </c>
      <c r="E1860" s="43">
        <v>26634.8035105372</v>
      </c>
      <c r="F1860" s="140">
        <v>3.954052384541626</v>
      </c>
    </row>
    <row r="1861" spans="1:6">
      <c r="A1861" s="149" t="s">
        <v>2962</v>
      </c>
      <c r="B1861" s="144" t="s">
        <v>1917</v>
      </c>
      <c r="C1861" s="44">
        <v>14879</v>
      </c>
      <c r="D1861" s="153">
        <f t="shared" si="28"/>
        <v>0.92993749999999997</v>
      </c>
      <c r="E1861" s="43">
        <v>26634.8035105372</v>
      </c>
      <c r="F1861" s="140">
        <v>3.954052384541626</v>
      </c>
    </row>
    <row r="1862" spans="1:6">
      <c r="A1862" s="149" t="s">
        <v>2962</v>
      </c>
      <c r="B1862" s="144" t="s">
        <v>1918</v>
      </c>
      <c r="C1862" s="44">
        <v>14879</v>
      </c>
      <c r="D1862" s="153">
        <f t="shared" si="28"/>
        <v>0.92993749999999997</v>
      </c>
      <c r="E1862" s="43">
        <v>26634.8035105372</v>
      </c>
      <c r="F1862" s="140">
        <v>3.954052384541626</v>
      </c>
    </row>
    <row r="1863" spans="1:6">
      <c r="A1863" s="149" t="s">
        <v>2962</v>
      </c>
      <c r="B1863" s="144" t="s">
        <v>1919</v>
      </c>
      <c r="C1863" s="44">
        <v>14879</v>
      </c>
      <c r="D1863" s="153">
        <f t="shared" ref="D1863:D1926" si="29">C1863/32768*4.096/2</f>
        <v>0.92993749999999997</v>
      </c>
      <c r="E1863" s="43">
        <v>26634.8035105372</v>
      </c>
      <c r="F1863" s="140">
        <v>3.954052384541626</v>
      </c>
    </row>
    <row r="1864" spans="1:6">
      <c r="A1864" s="149" t="s">
        <v>2962</v>
      </c>
      <c r="B1864" s="144" t="s">
        <v>1920</v>
      </c>
      <c r="C1864" s="44">
        <v>14879</v>
      </c>
      <c r="D1864" s="153">
        <f t="shared" si="29"/>
        <v>0.92993749999999997</v>
      </c>
      <c r="E1864" s="43">
        <v>26634.8035105372</v>
      </c>
      <c r="F1864" s="140">
        <v>3.954052384541626</v>
      </c>
    </row>
    <row r="1865" spans="1:6">
      <c r="A1865" s="149" t="s">
        <v>2962</v>
      </c>
      <c r="B1865" s="144" t="s">
        <v>1921</v>
      </c>
      <c r="C1865" s="44">
        <v>14879</v>
      </c>
      <c r="D1865" s="153">
        <f t="shared" si="29"/>
        <v>0.92993749999999997</v>
      </c>
      <c r="E1865" s="43">
        <v>26634.8035105372</v>
      </c>
      <c r="F1865" s="140">
        <v>3.954052384541626</v>
      </c>
    </row>
    <row r="1866" spans="1:6">
      <c r="A1866" s="149" t="s">
        <v>2962</v>
      </c>
      <c r="B1866" s="144" t="s">
        <v>1922</v>
      </c>
      <c r="C1866" s="44">
        <v>14879</v>
      </c>
      <c r="D1866" s="153">
        <f t="shared" si="29"/>
        <v>0.92993749999999997</v>
      </c>
      <c r="E1866" s="43">
        <v>26634.8035105372</v>
      </c>
      <c r="F1866" s="140">
        <v>3.954052384541626</v>
      </c>
    </row>
    <row r="1867" spans="1:6">
      <c r="A1867" s="149" t="s">
        <v>2962</v>
      </c>
      <c r="B1867" s="144" t="s">
        <v>1923</v>
      </c>
      <c r="C1867" s="44">
        <v>14879</v>
      </c>
      <c r="D1867" s="153">
        <f t="shared" si="29"/>
        <v>0.92993749999999997</v>
      </c>
      <c r="E1867" s="43">
        <v>26634.8035105372</v>
      </c>
      <c r="F1867" s="140">
        <v>3.954052384541626</v>
      </c>
    </row>
    <row r="1868" spans="1:6">
      <c r="A1868" s="149" t="s">
        <v>2962</v>
      </c>
      <c r="B1868" s="144" t="s">
        <v>1924</v>
      </c>
      <c r="C1868" s="44">
        <v>14878</v>
      </c>
      <c r="D1868" s="153">
        <f t="shared" si="29"/>
        <v>0.92987500000000001</v>
      </c>
      <c r="E1868" s="43">
        <v>26632.755729457796</v>
      </c>
      <c r="F1868" s="140">
        <v>3.9555973051650994</v>
      </c>
    </row>
    <row r="1869" spans="1:6">
      <c r="A1869" s="149" t="s">
        <v>2962</v>
      </c>
      <c r="B1869" s="144" t="s">
        <v>1925</v>
      </c>
      <c r="C1869" s="44">
        <v>14877</v>
      </c>
      <c r="D1869" s="153">
        <f t="shared" si="29"/>
        <v>0.92981250000000004</v>
      </c>
      <c r="E1869" s="43">
        <v>26630.708177295848</v>
      </c>
      <c r="F1869" s="140">
        <v>3.9571421866941705</v>
      </c>
    </row>
    <row r="1870" spans="1:6">
      <c r="A1870" s="149" t="s">
        <v>2962</v>
      </c>
      <c r="B1870" s="144" t="s">
        <v>1926</v>
      </c>
      <c r="C1870" s="44">
        <v>14875</v>
      </c>
      <c r="D1870" s="153">
        <f t="shared" si="29"/>
        <v>0.9296875</v>
      </c>
      <c r="E1870" s="43">
        <v>26626.613759570781</v>
      </c>
      <c r="F1870" s="140">
        <v>3.9602318324938324</v>
      </c>
    </row>
    <row r="1871" spans="1:6">
      <c r="A1871" s="149" t="s">
        <v>2962</v>
      </c>
      <c r="B1871" s="144" t="s">
        <v>1927</v>
      </c>
      <c r="C1871" s="44">
        <v>14873</v>
      </c>
      <c r="D1871" s="153">
        <f t="shared" si="29"/>
        <v>0.92956250000000007</v>
      </c>
      <c r="E1871" s="43">
        <v>26622.520257055043</v>
      </c>
      <c r="F1871" s="140">
        <v>3.9633213219890422</v>
      </c>
    </row>
    <row r="1872" spans="1:6">
      <c r="A1872" s="149" t="s">
        <v>2962</v>
      </c>
      <c r="B1872" s="144" t="s">
        <v>1928</v>
      </c>
      <c r="C1872" s="44">
        <v>14869</v>
      </c>
      <c r="D1872" s="153">
        <f t="shared" si="29"/>
        <v>0.92931249999999999</v>
      </c>
      <c r="E1872" s="43">
        <v>26614.335996424383</v>
      </c>
      <c r="F1872" s="140">
        <v>3.9694998322600554</v>
      </c>
    </row>
    <row r="1873" spans="1:6">
      <c r="A1873" s="149" t="s">
        <v>2962</v>
      </c>
      <c r="B1873" s="144" t="s">
        <v>1929</v>
      </c>
      <c r="C1873" s="44">
        <v>14864</v>
      </c>
      <c r="D1873" s="153">
        <f t="shared" si="29"/>
        <v>0.92900000000000005</v>
      </c>
      <c r="E1873" s="43">
        <v>26604.110813226096</v>
      </c>
      <c r="F1873" s="140">
        <v>3.9772220917496384</v>
      </c>
    </row>
    <row r="1874" spans="1:6">
      <c r="A1874" s="149" t="s">
        <v>2962</v>
      </c>
      <c r="B1874" s="144" t="s">
        <v>1930</v>
      </c>
      <c r="C1874" s="44">
        <v>14859</v>
      </c>
      <c r="D1874" s="153">
        <f t="shared" si="29"/>
        <v>0.9286875</v>
      </c>
      <c r="E1874" s="43">
        <v>26593.891339549948</v>
      </c>
      <c r="F1874" s="140">
        <v>3.984943376001695</v>
      </c>
    </row>
    <row r="1875" spans="1:6">
      <c r="A1875" s="149" t="s">
        <v>2962</v>
      </c>
      <c r="B1875" s="144" t="s">
        <v>1931</v>
      </c>
      <c r="C1875" s="44">
        <v>14852</v>
      </c>
      <c r="D1875" s="153">
        <f t="shared" si="29"/>
        <v>0.92825000000000002</v>
      </c>
      <c r="E1875" s="43">
        <v>26579.593659298949</v>
      </c>
      <c r="F1875" s="140">
        <v>3.9957515369951579</v>
      </c>
    </row>
    <row r="1876" spans="1:6">
      <c r="A1876" s="149" t="s">
        <v>2962</v>
      </c>
      <c r="B1876" s="144" t="s">
        <v>1932</v>
      </c>
      <c r="C1876" s="44">
        <v>14845</v>
      </c>
      <c r="D1876" s="153">
        <f t="shared" si="29"/>
        <v>0.92781250000000004</v>
      </c>
      <c r="E1876" s="43">
        <v>26565.307147240976</v>
      </c>
      <c r="F1876" s="140">
        <v>4.0065577900778067</v>
      </c>
    </row>
    <row r="1877" spans="1:6">
      <c r="A1877" s="149" t="s">
        <v>2962</v>
      </c>
      <c r="B1877" s="144" t="s">
        <v>1933</v>
      </c>
      <c r="C1877" s="44">
        <v>14836</v>
      </c>
      <c r="D1877" s="153">
        <f t="shared" si="29"/>
        <v>0.92725000000000002</v>
      </c>
      <c r="E1877" s="43">
        <v>26546.955163952709</v>
      </c>
      <c r="F1877" s="140">
        <v>4.0204487439131071</v>
      </c>
    </row>
    <row r="1878" spans="1:6">
      <c r="A1878" s="149" t="s">
        <v>2962</v>
      </c>
      <c r="B1878" s="144" t="s">
        <v>1934</v>
      </c>
      <c r="C1878" s="44">
        <v>14826</v>
      </c>
      <c r="D1878" s="153">
        <f t="shared" si="29"/>
        <v>0.92662500000000003</v>
      </c>
      <c r="E1878" s="43">
        <v>26526.585664920298</v>
      </c>
      <c r="F1878" s="140">
        <v>4.0358794474143451</v>
      </c>
    </row>
    <row r="1879" spans="1:6">
      <c r="A1879" s="149" t="s">
        <v>2962</v>
      </c>
      <c r="B1879" s="144" t="s">
        <v>1935</v>
      </c>
      <c r="C1879" s="44">
        <v>14816</v>
      </c>
      <c r="D1879" s="153">
        <f t="shared" si="29"/>
        <v>0.92600000000000005</v>
      </c>
      <c r="E1879" s="43">
        <v>26506.238859180037</v>
      </c>
      <c r="F1879" s="140">
        <v>4.05130627289617</v>
      </c>
    </row>
    <row r="1880" spans="1:6">
      <c r="A1880" s="149" t="s">
        <v>2962</v>
      </c>
      <c r="B1880" s="144" t="s">
        <v>1936</v>
      </c>
      <c r="C1880" s="44">
        <v>14805</v>
      </c>
      <c r="D1880" s="153">
        <f t="shared" si="29"/>
        <v>0.92531249999999998</v>
      </c>
      <c r="E1880" s="43">
        <v>26483.883538384456</v>
      </c>
      <c r="F1880" s="140">
        <v>4.0682713089912568</v>
      </c>
    </row>
    <row r="1881" spans="1:6">
      <c r="A1881" s="149" t="s">
        <v>2962</v>
      </c>
      <c r="B1881" s="144" t="s">
        <v>1937</v>
      </c>
      <c r="C1881" s="44">
        <v>14793</v>
      </c>
      <c r="D1881" s="153">
        <f t="shared" si="29"/>
        <v>0.92456250000000006</v>
      </c>
      <c r="E1881" s="43">
        <v>26459.527121001393</v>
      </c>
      <c r="F1881" s="140">
        <v>4.0867732871190583</v>
      </c>
    </row>
    <row r="1882" spans="1:6">
      <c r="A1882" s="149" t="s">
        <v>2962</v>
      </c>
      <c r="B1882" s="144" t="s">
        <v>1938</v>
      </c>
      <c r="C1882" s="44">
        <v>14780</v>
      </c>
      <c r="D1882" s="153">
        <f t="shared" si="29"/>
        <v>0.92375000000000007</v>
      </c>
      <c r="E1882" s="43">
        <v>26433.177674004892</v>
      </c>
      <c r="F1882" s="140">
        <v>4.1068108274980091</v>
      </c>
    </row>
    <row r="1883" spans="1:6">
      <c r="A1883" s="149" t="s">
        <v>2962</v>
      </c>
      <c r="B1883" s="144" t="s">
        <v>1939</v>
      </c>
      <c r="C1883" s="44">
        <v>14766</v>
      </c>
      <c r="D1883" s="153">
        <f t="shared" si="29"/>
        <v>0.922875</v>
      </c>
      <c r="E1883" s="43">
        <v>26404.84390623264</v>
      </c>
      <c r="F1883" s="140">
        <v>4.1283824402098617</v>
      </c>
    </row>
    <row r="1884" spans="1:6">
      <c r="A1884" s="149" t="s">
        <v>2962</v>
      </c>
      <c r="B1884" s="144" t="s">
        <v>1940</v>
      </c>
      <c r="C1884" s="44">
        <v>14752</v>
      </c>
      <c r="D1884" s="153">
        <f t="shared" si="29"/>
        <v>0.92200000000000004</v>
      </c>
      <c r="E1884" s="43">
        <v>26376.554174067496</v>
      </c>
      <c r="F1884" s="140">
        <v>4.1499465224795244</v>
      </c>
    </row>
    <row r="1885" spans="1:6">
      <c r="A1885" s="149" t="s">
        <v>2962</v>
      </c>
      <c r="B1885" s="144" t="s">
        <v>1941</v>
      </c>
      <c r="C1885" s="44">
        <v>14737</v>
      </c>
      <c r="D1885" s="153">
        <f t="shared" si="29"/>
        <v>0.92106250000000001</v>
      </c>
      <c r="E1885" s="43">
        <v>26346.292496256447</v>
      </c>
      <c r="F1885" s="140">
        <v>4.1730425584402724</v>
      </c>
    </row>
    <row r="1886" spans="1:6">
      <c r="A1886" s="149" t="s">
        <v>2962</v>
      </c>
      <c r="B1886" s="144" t="s">
        <v>1942</v>
      </c>
      <c r="C1886" s="44">
        <v>14723</v>
      </c>
      <c r="D1886" s="153">
        <f t="shared" si="29"/>
        <v>0.92018750000000005</v>
      </c>
      <c r="E1886" s="43">
        <v>26318.09365475201</v>
      </c>
      <c r="F1886" s="140">
        <v>4.1945910939423356</v>
      </c>
    </row>
    <row r="1887" spans="1:6">
      <c r="A1887" s="149" t="s">
        <v>2962</v>
      </c>
      <c r="B1887" s="144" t="s">
        <v>1943</v>
      </c>
      <c r="C1887" s="44">
        <v>14708</v>
      </c>
      <c r="D1887" s="153">
        <f t="shared" si="29"/>
        <v>0.91925000000000001</v>
      </c>
      <c r="E1887" s="43">
        <v>26287.929125138427</v>
      </c>
      <c r="F1887" s="140">
        <v>4.2176705101421703</v>
      </c>
    </row>
    <row r="1888" spans="1:6">
      <c r="A1888" s="149" t="s">
        <v>2962</v>
      </c>
      <c r="B1888" s="144" t="s">
        <v>1944</v>
      </c>
      <c r="C1888" s="44">
        <v>14693</v>
      </c>
      <c r="D1888" s="153">
        <f t="shared" si="29"/>
        <v>0.91831249999999998</v>
      </c>
      <c r="E1888" s="43">
        <v>26257.814661134162</v>
      </c>
      <c r="F1888" s="140">
        <v>4.240741359265769</v>
      </c>
    </row>
    <row r="1889" spans="1:6">
      <c r="A1889" s="149" t="s">
        <v>2962</v>
      </c>
      <c r="B1889" s="144" t="s">
        <v>1945</v>
      </c>
      <c r="C1889" s="44">
        <v>14678</v>
      </c>
      <c r="D1889" s="153">
        <f t="shared" si="29"/>
        <v>0.91737500000000005</v>
      </c>
      <c r="E1889" s="43">
        <v>26227.750138197898</v>
      </c>
      <c r="F1889" s="140">
        <v>4.2638036612709698</v>
      </c>
    </row>
    <row r="1890" spans="1:6">
      <c r="A1890" s="149" t="s">
        <v>2962</v>
      </c>
      <c r="B1890" s="144" t="s">
        <v>1946</v>
      </c>
      <c r="C1890" s="44">
        <v>14663</v>
      </c>
      <c r="D1890" s="153">
        <f t="shared" si="29"/>
        <v>0.91643750000000002</v>
      </c>
      <c r="E1890" s="43">
        <v>26197.735432201051</v>
      </c>
      <c r="F1890" s="140">
        <v>4.2868574360737739</v>
      </c>
    </row>
    <row r="1891" spans="1:6">
      <c r="A1891" s="149" t="s">
        <v>2962</v>
      </c>
      <c r="B1891" s="144" t="s">
        <v>1947</v>
      </c>
      <c r="C1891" s="44">
        <v>14648</v>
      </c>
      <c r="D1891" s="153">
        <f t="shared" si="29"/>
        <v>0.91549999999999998</v>
      </c>
      <c r="E1891" s="43">
        <v>26167.770419426048</v>
      </c>
      <c r="F1891" s="140">
        <v>4.3099027035488575</v>
      </c>
    </row>
    <row r="1892" spans="1:6">
      <c r="A1892" s="149" t="s">
        <v>2962</v>
      </c>
      <c r="B1892" s="144" t="s">
        <v>1948</v>
      </c>
      <c r="C1892" s="44">
        <v>14633</v>
      </c>
      <c r="D1892" s="153">
        <f t="shared" si="29"/>
        <v>0.91456250000000006</v>
      </c>
      <c r="E1892" s="43">
        <v>26137.854976564653</v>
      </c>
      <c r="F1892" s="140">
        <v>4.3329394835295716</v>
      </c>
    </row>
    <row r="1893" spans="1:6">
      <c r="A1893" s="149" t="s">
        <v>2962</v>
      </c>
      <c r="B1893" s="144" t="s">
        <v>1949</v>
      </c>
      <c r="C1893" s="44">
        <v>14618</v>
      </c>
      <c r="D1893" s="153">
        <f t="shared" si="29"/>
        <v>0.91362500000000002</v>
      </c>
      <c r="E1893" s="43">
        <v>26107.988980716254</v>
      </c>
      <c r="F1893" s="140">
        <v>4.3559677958078851</v>
      </c>
    </row>
    <row r="1894" spans="1:6">
      <c r="A1894" s="149" t="s">
        <v>2962</v>
      </c>
      <c r="B1894" s="144" t="s">
        <v>1950</v>
      </c>
      <c r="C1894" s="44">
        <v>14604</v>
      </c>
      <c r="D1894" s="153">
        <f t="shared" si="29"/>
        <v>0.91275000000000006</v>
      </c>
      <c r="E1894" s="43">
        <v>26080.158555384278</v>
      </c>
      <c r="F1894" s="140">
        <v>4.3774532649429716</v>
      </c>
    </row>
    <row r="1895" spans="1:6">
      <c r="A1895" s="149" t="s">
        <v>2962</v>
      </c>
      <c r="B1895" s="144" t="s">
        <v>1951</v>
      </c>
      <c r="C1895" s="44">
        <v>14590</v>
      </c>
      <c r="D1895" s="153">
        <f t="shared" si="29"/>
        <v>0.91187499999999999</v>
      </c>
      <c r="E1895" s="43">
        <v>26052.370997909562</v>
      </c>
      <c r="F1895" s="140">
        <v>4.3989313910003602</v>
      </c>
    </row>
    <row r="1896" spans="1:6">
      <c r="A1896" s="149" t="s">
        <v>2962</v>
      </c>
      <c r="B1896" s="144" t="s">
        <v>1952</v>
      </c>
      <c r="C1896" s="44">
        <v>14576</v>
      </c>
      <c r="D1896" s="153">
        <f t="shared" si="29"/>
        <v>0.91100000000000003</v>
      </c>
      <c r="E1896" s="43">
        <v>26024.626209322778</v>
      </c>
      <c r="F1896" s="140">
        <v>4.4204021899752206</v>
      </c>
    </row>
    <row r="1897" spans="1:6">
      <c r="A1897" s="149" t="s">
        <v>2962</v>
      </c>
      <c r="B1897" s="144" t="s">
        <v>1953</v>
      </c>
      <c r="C1897" s="44">
        <v>14563</v>
      </c>
      <c r="D1897" s="153">
        <f t="shared" si="29"/>
        <v>0.91018750000000004</v>
      </c>
      <c r="E1897" s="43">
        <v>25998.90140071409</v>
      </c>
      <c r="F1897" s="140">
        <v>4.4403328136771734</v>
      </c>
    </row>
    <row r="1898" spans="1:6">
      <c r="A1898" s="149" t="s">
        <v>2962</v>
      </c>
      <c r="B1898" s="144" t="s">
        <v>1954</v>
      </c>
      <c r="C1898" s="44">
        <v>14550</v>
      </c>
      <c r="D1898" s="153">
        <f t="shared" si="29"/>
        <v>0.90937500000000004</v>
      </c>
      <c r="E1898" s="43">
        <v>25973.213305522011</v>
      </c>
      <c r="F1898" s="140">
        <v>4.4602571461633147</v>
      </c>
    </row>
    <row r="1899" spans="1:6">
      <c r="A1899" s="149" t="s">
        <v>2962</v>
      </c>
      <c r="B1899" s="144" t="s">
        <v>1955</v>
      </c>
      <c r="C1899" s="44">
        <v>14538</v>
      </c>
      <c r="D1899" s="153">
        <f t="shared" si="29"/>
        <v>0.90862500000000002</v>
      </c>
      <c r="E1899" s="43">
        <v>25949.533735600657</v>
      </c>
      <c r="F1899" s="140">
        <v>4.4786432647837273</v>
      </c>
    </row>
    <row r="1900" spans="1:6">
      <c r="A1900" s="149" t="s">
        <v>2962</v>
      </c>
      <c r="B1900" s="144" t="s">
        <v>1956</v>
      </c>
      <c r="C1900" s="44">
        <v>14526</v>
      </c>
      <c r="D1900" s="153">
        <f t="shared" si="29"/>
        <v>0.90787499999999999</v>
      </c>
      <c r="E1900" s="43">
        <v>25925.885319592151</v>
      </c>
      <c r="F1900" s="140">
        <v>4.4970240436928748</v>
      </c>
    </row>
    <row r="1901" spans="1:6">
      <c r="A1901" s="149" t="s">
        <v>2962</v>
      </c>
      <c r="B1901" s="144" t="s">
        <v>1957</v>
      </c>
      <c r="C1901" s="44">
        <v>14514</v>
      </c>
      <c r="D1901" s="153">
        <f t="shared" si="29"/>
        <v>0.90712500000000007</v>
      </c>
      <c r="E1901" s="43">
        <v>25902.26799605566</v>
      </c>
      <c r="F1901" s="140">
        <v>4.5153994928737688</v>
      </c>
    </row>
    <row r="1902" spans="1:6">
      <c r="A1902" s="149" t="s">
        <v>2962</v>
      </c>
      <c r="B1902" s="144" t="s">
        <v>1958</v>
      </c>
      <c r="C1902" s="44">
        <v>14503</v>
      </c>
      <c r="D1902" s="153">
        <f t="shared" si="29"/>
        <v>0.90643750000000001</v>
      </c>
      <c r="E1902" s="43">
        <v>25880.646044347111</v>
      </c>
      <c r="F1902" s="140">
        <v>4.5322389811171888</v>
      </c>
    </row>
    <row r="1903" spans="1:6">
      <c r="A1903" s="149" t="s">
        <v>2962</v>
      </c>
      <c r="B1903" s="144" t="s">
        <v>1959</v>
      </c>
      <c r="C1903" s="44">
        <v>14493</v>
      </c>
      <c r="D1903" s="153">
        <f t="shared" si="29"/>
        <v>0.90581250000000002</v>
      </c>
      <c r="E1903" s="43">
        <v>25861.012311901504</v>
      </c>
      <c r="F1903" s="140">
        <v>4.5475437342504392</v>
      </c>
    </row>
    <row r="1904" spans="1:6">
      <c r="A1904" s="149" t="s">
        <v>2962</v>
      </c>
      <c r="B1904" s="144" t="s">
        <v>1960</v>
      </c>
      <c r="C1904" s="44">
        <v>14482</v>
      </c>
      <c r="D1904" s="153">
        <f t="shared" si="29"/>
        <v>0.90512500000000007</v>
      </c>
      <c r="E1904" s="43">
        <v>25839.440008749862</v>
      </c>
      <c r="F1904" s="140">
        <v>4.56437470998452</v>
      </c>
    </row>
    <row r="1905" spans="1:6">
      <c r="A1905" s="149" t="s">
        <v>2962</v>
      </c>
      <c r="B1905" s="144" t="s">
        <v>1961</v>
      </c>
      <c r="C1905" s="44">
        <v>14472</v>
      </c>
      <c r="D1905" s="153">
        <f t="shared" si="29"/>
        <v>0.90449999999999997</v>
      </c>
      <c r="E1905" s="43">
        <v>25819.851333624836</v>
      </c>
      <c r="F1905" s="140">
        <v>4.5796717371434283</v>
      </c>
    </row>
    <row r="1906" spans="1:6">
      <c r="A1906" s="149" t="s">
        <v>2962</v>
      </c>
      <c r="B1906" s="144" t="s">
        <v>1962</v>
      </c>
      <c r="C1906" s="44">
        <v>14463</v>
      </c>
      <c r="D1906" s="153">
        <f t="shared" si="29"/>
        <v>0.90393750000000006</v>
      </c>
      <c r="E1906" s="43">
        <v>25802.239825184377</v>
      </c>
      <c r="F1906" s="140">
        <v>4.5934359234506701</v>
      </c>
    </row>
    <row r="1907" spans="1:6">
      <c r="A1907" s="149" t="s">
        <v>2962</v>
      </c>
      <c r="B1907" s="144" t="s">
        <v>1963</v>
      </c>
      <c r="C1907" s="44">
        <v>14454</v>
      </c>
      <c r="D1907" s="153">
        <f t="shared" si="29"/>
        <v>0.90337500000000004</v>
      </c>
      <c r="E1907" s="43">
        <v>25784.64562629682</v>
      </c>
      <c r="F1907" s="140">
        <v>4.6071971411166146</v>
      </c>
    </row>
    <row r="1908" spans="1:6">
      <c r="A1908" s="149" t="s">
        <v>2962</v>
      </c>
      <c r="B1908" s="144" t="s">
        <v>1964</v>
      </c>
      <c r="C1908" s="44">
        <v>14445</v>
      </c>
      <c r="D1908" s="153">
        <f t="shared" si="29"/>
        <v>0.90281250000000002</v>
      </c>
      <c r="E1908" s="43">
        <v>25767.068711455548</v>
      </c>
      <c r="F1908" s="140">
        <v>4.6209553943106698</v>
      </c>
    </row>
    <row r="1909" spans="1:6">
      <c r="A1909" s="149" t="s">
        <v>2962</v>
      </c>
      <c r="B1909" s="144" t="s">
        <v>1965</v>
      </c>
      <c r="C1909" s="44">
        <v>14437</v>
      </c>
      <c r="D1909" s="153">
        <f t="shared" si="29"/>
        <v>0.90231250000000007</v>
      </c>
      <c r="E1909" s="43">
        <v>25751.459276635207</v>
      </c>
      <c r="F1909" s="140">
        <v>4.6331824673796405</v>
      </c>
    </row>
    <row r="1910" spans="1:6">
      <c r="A1910" s="149" t="s">
        <v>2962</v>
      </c>
      <c r="B1910" s="144" t="s">
        <v>1966</v>
      </c>
      <c r="C1910" s="44">
        <v>14429</v>
      </c>
      <c r="D1910" s="153">
        <f t="shared" si="29"/>
        <v>0.90181250000000002</v>
      </c>
      <c r="E1910" s="43">
        <v>25735.863460384971</v>
      </c>
      <c r="F1910" s="140">
        <v>4.6454072043617316</v>
      </c>
    </row>
    <row r="1911" spans="1:6">
      <c r="A1911" s="149" t="s">
        <v>2962</v>
      </c>
      <c r="B1911" s="144" t="s">
        <v>1967</v>
      </c>
      <c r="C1911" s="44">
        <v>14421</v>
      </c>
      <c r="D1911" s="153">
        <f t="shared" si="29"/>
        <v>0.90131250000000007</v>
      </c>
      <c r="E1911" s="43">
        <v>25720.281244890171</v>
      </c>
      <c r="F1911" s="140">
        <v>4.6576296081751707</v>
      </c>
    </row>
    <row r="1912" spans="1:6">
      <c r="A1912" s="149" t="s">
        <v>2962</v>
      </c>
      <c r="B1912" s="144" t="s">
        <v>1968</v>
      </c>
      <c r="C1912" s="44">
        <v>14414</v>
      </c>
      <c r="D1912" s="153">
        <f t="shared" si="29"/>
        <v>0.90087499999999998</v>
      </c>
      <c r="E1912" s="43">
        <v>25706.657949220877</v>
      </c>
      <c r="F1912" s="140">
        <v>4.6683222998761948</v>
      </c>
    </row>
    <row r="1913" spans="1:6">
      <c r="A1913" s="149" t="s">
        <v>2962</v>
      </c>
      <c r="B1913" s="144" t="s">
        <v>1969</v>
      </c>
      <c r="C1913" s="44">
        <v>14407</v>
      </c>
      <c r="D1913" s="153">
        <f t="shared" si="29"/>
        <v>0.9004375</v>
      </c>
      <c r="E1913" s="43">
        <v>25693.045041119763</v>
      </c>
      <c r="F1913" s="140">
        <v>4.6790132094276942</v>
      </c>
    </row>
    <row r="1914" spans="1:6">
      <c r="A1914" s="149" t="s">
        <v>2962</v>
      </c>
      <c r="B1914" s="144" t="s">
        <v>1970</v>
      </c>
      <c r="C1914" s="44">
        <v>14400</v>
      </c>
      <c r="D1914" s="153">
        <f t="shared" si="29"/>
        <v>0.9</v>
      </c>
      <c r="E1914" s="43">
        <v>25679.442508710803</v>
      </c>
      <c r="F1914" s="140">
        <v>4.6897023387787158</v>
      </c>
    </row>
    <row r="1915" spans="1:6">
      <c r="A1915" s="149" t="s">
        <v>2962</v>
      </c>
      <c r="B1915" s="144" t="s">
        <v>1971</v>
      </c>
      <c r="C1915" s="44">
        <v>14394</v>
      </c>
      <c r="D1915" s="153">
        <f t="shared" si="29"/>
        <v>0.89962500000000001</v>
      </c>
      <c r="E1915" s="43">
        <v>25667.791444432351</v>
      </c>
      <c r="F1915" s="140">
        <v>4.6988630342329429</v>
      </c>
    </row>
    <row r="1916" spans="1:6">
      <c r="A1916" s="149" t="s">
        <v>2962</v>
      </c>
      <c r="B1916" s="144" t="s">
        <v>1972</v>
      </c>
      <c r="C1916" s="44">
        <v>14388</v>
      </c>
      <c r="D1916" s="153">
        <f t="shared" si="29"/>
        <v>0.89924999999999999</v>
      </c>
      <c r="E1916" s="43">
        <v>25656.147986942327</v>
      </c>
      <c r="F1916" s="140">
        <v>4.7080224244403439</v>
      </c>
    </row>
    <row r="1917" spans="1:6">
      <c r="A1917" s="149" t="s">
        <v>2962</v>
      </c>
      <c r="B1917" s="144" t="s">
        <v>1973</v>
      </c>
      <c r="C1917" s="44">
        <v>14382</v>
      </c>
      <c r="D1917" s="153">
        <f t="shared" si="29"/>
        <v>0.89887499999999998</v>
      </c>
      <c r="E1917" s="43">
        <v>25644.512128793649</v>
      </c>
      <c r="F1917" s="140">
        <v>4.7171805106253828</v>
      </c>
    </row>
    <row r="1918" spans="1:6">
      <c r="A1918" s="149" t="s">
        <v>2962</v>
      </c>
      <c r="B1918" s="144" t="s">
        <v>1974</v>
      </c>
      <c r="C1918" s="44">
        <v>14377</v>
      </c>
      <c r="D1918" s="153">
        <f t="shared" si="29"/>
        <v>0.89856250000000004</v>
      </c>
      <c r="E1918" s="43">
        <v>25634.821380022837</v>
      </c>
      <c r="F1918" s="140">
        <v>4.7248112538669602</v>
      </c>
    </row>
    <row r="1919" spans="1:6">
      <c r="A1919" s="149" t="s">
        <v>2962</v>
      </c>
      <c r="B1919" s="144" t="s">
        <v>1975</v>
      </c>
      <c r="C1919" s="44">
        <v>14371</v>
      </c>
      <c r="D1919" s="153">
        <f t="shared" si="29"/>
        <v>0.89818750000000003</v>
      </c>
      <c r="E1919" s="43">
        <v>25623.199434690439</v>
      </c>
      <c r="F1919" s="140">
        <v>4.7339669525200065</v>
      </c>
    </row>
    <row r="1920" spans="1:6">
      <c r="A1920" s="149" t="s">
        <v>2962</v>
      </c>
      <c r="B1920" s="144" t="s">
        <v>1976</v>
      </c>
      <c r="C1920" s="44">
        <v>14366</v>
      </c>
      <c r="D1920" s="153">
        <f t="shared" si="29"/>
        <v>0.89787499999999998</v>
      </c>
      <c r="E1920" s="43">
        <v>25613.520269535918</v>
      </c>
      <c r="F1920" s="140">
        <v>4.7415957078627002</v>
      </c>
    </row>
    <row r="1921" spans="1:6">
      <c r="A1921" s="149" t="s">
        <v>2962</v>
      </c>
      <c r="B1921" s="144" t="s">
        <v>1977</v>
      </c>
      <c r="C1921" s="44">
        <v>14362</v>
      </c>
      <c r="D1921" s="153">
        <f t="shared" si="29"/>
        <v>0.89762500000000001</v>
      </c>
      <c r="E1921" s="43">
        <v>25605.78072367706</v>
      </c>
      <c r="F1921" s="140">
        <v>4.7476980623317218</v>
      </c>
    </row>
    <row r="1922" spans="1:6">
      <c r="A1922" s="149" t="s">
        <v>2962</v>
      </c>
      <c r="B1922" s="144" t="s">
        <v>1978</v>
      </c>
      <c r="C1922" s="44">
        <v>14357</v>
      </c>
      <c r="D1922" s="153">
        <f t="shared" si="29"/>
        <v>0.89731250000000007</v>
      </c>
      <c r="E1922" s="43">
        <v>25596.111020585518</v>
      </c>
      <c r="F1922" s="140">
        <v>4.7553251937545156</v>
      </c>
    </row>
    <row r="1923" spans="1:6">
      <c r="A1923" s="149" t="s">
        <v>2962</v>
      </c>
      <c r="B1923" s="144" t="s">
        <v>1979</v>
      </c>
      <c r="C1923" s="44">
        <v>14353</v>
      </c>
      <c r="D1923" s="153">
        <f t="shared" si="29"/>
        <v>0.89706249999999998</v>
      </c>
      <c r="E1923" s="43">
        <v>25588.379038827043</v>
      </c>
      <c r="F1923" s="140">
        <v>4.7614262500021027</v>
      </c>
    </row>
    <row r="1924" spans="1:6">
      <c r="A1924" s="149" t="s">
        <v>2962</v>
      </c>
      <c r="B1924" s="144" t="s">
        <v>1980</v>
      </c>
      <c r="C1924" s="44">
        <v>14348</v>
      </c>
      <c r="D1924" s="153">
        <f t="shared" si="29"/>
        <v>0.89675000000000005</v>
      </c>
      <c r="E1924" s="43">
        <v>25578.718783930512</v>
      </c>
      <c r="F1924" s="140">
        <v>4.7690517597903863</v>
      </c>
    </row>
    <row r="1925" spans="1:6">
      <c r="A1925" s="149" t="s">
        <v>2962</v>
      </c>
      <c r="B1925" s="144" t="s">
        <v>1981</v>
      </c>
      <c r="C1925" s="44">
        <v>14344</v>
      </c>
      <c r="D1925" s="153">
        <f t="shared" si="29"/>
        <v>0.89649999999999996</v>
      </c>
      <c r="E1925" s="43">
        <v>25570.994355188883</v>
      </c>
      <c r="F1925" s="140">
        <v>4.7751515196438845</v>
      </c>
    </row>
    <row r="1926" spans="1:6">
      <c r="A1926" s="149" t="s">
        <v>2962</v>
      </c>
      <c r="B1926" s="144" t="s">
        <v>1982</v>
      </c>
      <c r="C1926" s="44">
        <v>14340</v>
      </c>
      <c r="D1926" s="153">
        <f t="shared" si="29"/>
        <v>0.89624999999999999</v>
      </c>
      <c r="E1926" s="43">
        <v>25563.273279791621</v>
      </c>
      <c r="F1926" s="140">
        <v>4.7812507039079719</v>
      </c>
    </row>
    <row r="1927" spans="1:6">
      <c r="A1927" s="149" t="s">
        <v>2962</v>
      </c>
      <c r="B1927" s="144" t="s">
        <v>1983</v>
      </c>
      <c r="C1927" s="44">
        <v>14337</v>
      </c>
      <c r="D1927" s="153">
        <f t="shared" ref="D1927:D1990" si="30">C1927/32768*4.096/2</f>
        <v>0.89606249999999998</v>
      </c>
      <c r="E1927" s="43">
        <v>25557.484672562532</v>
      </c>
      <c r="F1927" s="140">
        <v>4.7858247145923656</v>
      </c>
    </row>
    <row r="1928" spans="1:6">
      <c r="A1928" s="149" t="s">
        <v>2962</v>
      </c>
      <c r="B1928" s="144" t="s">
        <v>1984</v>
      </c>
      <c r="C1928" s="44">
        <v>14333</v>
      </c>
      <c r="D1928" s="153">
        <f t="shared" si="30"/>
        <v>0.89581250000000001</v>
      </c>
      <c r="E1928" s="43">
        <v>25549.769460265798</v>
      </c>
      <c r="F1928" s="140">
        <v>4.7919228924421873</v>
      </c>
    </row>
    <row r="1929" spans="1:6">
      <c r="A1929" s="149" t="s">
        <v>2962</v>
      </c>
      <c r="B1929" s="144" t="s">
        <v>1985</v>
      </c>
      <c r="C1929" s="44">
        <v>14330</v>
      </c>
      <c r="D1929" s="153">
        <f t="shared" si="30"/>
        <v>0.895625</v>
      </c>
      <c r="E1929" s="43">
        <v>25543.985247857687</v>
      </c>
      <c r="F1929" s="140">
        <v>4.7964961487294318</v>
      </c>
    </row>
    <row r="1930" spans="1:6">
      <c r="A1930" s="149" t="s">
        <v>2962</v>
      </c>
      <c r="B1930" s="144" t="s">
        <v>1986</v>
      </c>
      <c r="C1930" s="44">
        <v>14327</v>
      </c>
      <c r="D1930" s="153">
        <f t="shared" si="30"/>
        <v>0.8954375</v>
      </c>
      <c r="E1930" s="43">
        <v>25538.202917412287</v>
      </c>
      <c r="F1930" s="140">
        <v>4.8010690819565411</v>
      </c>
    </row>
    <row r="1931" spans="1:6">
      <c r="A1931" s="149" t="s">
        <v>2962</v>
      </c>
      <c r="B1931" s="144" t="s">
        <v>1987</v>
      </c>
      <c r="C1931" s="44">
        <v>14324</v>
      </c>
      <c r="D1931" s="153">
        <f t="shared" si="30"/>
        <v>0.89524999999999999</v>
      </c>
      <c r="E1931" s="43">
        <v>25532.422468011278</v>
      </c>
      <c r="F1931" s="140">
        <v>4.8056416922754011</v>
      </c>
    </row>
    <row r="1932" spans="1:6">
      <c r="A1932" s="149" t="s">
        <v>2962</v>
      </c>
      <c r="B1932" s="144" t="s">
        <v>1988</v>
      </c>
      <c r="C1932" s="44">
        <v>14321</v>
      </c>
      <c r="D1932" s="153">
        <f t="shared" si="30"/>
        <v>0.89506249999999998</v>
      </c>
      <c r="E1932" s="43">
        <v>25526.643898736922</v>
      </c>
      <c r="F1932" s="140">
        <v>4.8102139798375561</v>
      </c>
    </row>
    <row r="1933" spans="1:6">
      <c r="A1933" s="149" t="s">
        <v>2962</v>
      </c>
      <c r="B1933" s="145" t="s">
        <v>1989</v>
      </c>
      <c r="C1933" s="142">
        <v>14318</v>
      </c>
      <c r="D1933" s="153">
        <f t="shared" si="30"/>
        <v>0.89487499999999998</v>
      </c>
      <c r="E1933" s="143">
        <v>25520.867208672087</v>
      </c>
      <c r="F1933" s="141">
        <v>4.8147859447945507</v>
      </c>
    </row>
    <row r="1934" spans="1:6">
      <c r="A1934" s="149" t="s">
        <v>2962</v>
      </c>
      <c r="B1934" s="144" t="s">
        <v>1990</v>
      </c>
      <c r="C1934" s="44">
        <v>14315</v>
      </c>
      <c r="D1934" s="153">
        <f t="shared" si="30"/>
        <v>0.89468749999999997</v>
      </c>
      <c r="E1934" s="43">
        <v>25515.092396900232</v>
      </c>
      <c r="F1934" s="140">
        <v>4.8193575872982137</v>
      </c>
    </row>
    <row r="1935" spans="1:6">
      <c r="A1935" s="149" t="s">
        <v>2962</v>
      </c>
      <c r="B1935" s="144" t="s">
        <v>1991</v>
      </c>
      <c r="C1935" s="44">
        <v>14313</v>
      </c>
      <c r="D1935" s="153">
        <f t="shared" si="30"/>
        <v>0.89456250000000004</v>
      </c>
      <c r="E1935" s="43">
        <v>25511.243565429424</v>
      </c>
      <c r="F1935" s="140">
        <v>4.8224051699012307</v>
      </c>
    </row>
    <row r="1936" spans="1:6">
      <c r="A1936" s="149" t="s">
        <v>2962</v>
      </c>
      <c r="B1936" s="144" t="s">
        <v>1992</v>
      </c>
      <c r="C1936" s="44">
        <v>14310</v>
      </c>
      <c r="D1936" s="153">
        <f t="shared" si="30"/>
        <v>0.89437500000000003</v>
      </c>
      <c r="E1936" s="43">
        <v>25505.471882110738</v>
      </c>
      <c r="F1936" s="140">
        <v>4.826976275318998</v>
      </c>
    </row>
    <row r="1937" spans="1:6">
      <c r="A1937" s="149" t="s">
        <v>2962</v>
      </c>
      <c r="B1937" s="144" t="s">
        <v>1993</v>
      </c>
      <c r="C1937" s="44">
        <v>14307</v>
      </c>
      <c r="D1937" s="153">
        <f t="shared" si="30"/>
        <v>0.89418750000000002</v>
      </c>
      <c r="E1937" s="43">
        <v>25499.702074643843</v>
      </c>
      <c r="F1937" s="140">
        <v>4.8315470586869083</v>
      </c>
    </row>
    <row r="1938" spans="1:6">
      <c r="A1938" s="149" t="s">
        <v>2962</v>
      </c>
      <c r="B1938" s="144" t="s">
        <v>1994</v>
      </c>
      <c r="C1938" s="44">
        <v>14305</v>
      </c>
      <c r="D1938" s="153">
        <f t="shared" si="30"/>
        <v>0.89406249999999998</v>
      </c>
      <c r="E1938" s="43">
        <v>25495.856578020906</v>
      </c>
      <c r="F1938" s="140">
        <v>4.8345940687572124</v>
      </c>
    </row>
    <row r="1939" spans="1:6">
      <c r="A1939" s="149" t="s">
        <v>2962</v>
      </c>
      <c r="B1939" s="144" t="s">
        <v>1995</v>
      </c>
      <c r="C1939" s="44">
        <v>14303</v>
      </c>
      <c r="D1939" s="153">
        <f t="shared" si="30"/>
        <v>0.89393750000000005</v>
      </c>
      <c r="E1939" s="43">
        <v>25492.011914432711</v>
      </c>
      <c r="F1939" s="140">
        <v>4.8376409358062915</v>
      </c>
    </row>
    <row r="1940" spans="1:6">
      <c r="A1940" s="149" t="s">
        <v>2962</v>
      </c>
      <c r="B1940" s="144" t="s">
        <v>1996</v>
      </c>
      <c r="C1940" s="44">
        <v>14301</v>
      </c>
      <c r="D1940" s="153">
        <f t="shared" si="30"/>
        <v>0.89381250000000001</v>
      </c>
      <c r="E1940" s="43">
        <v>25488.168083608598</v>
      </c>
      <c r="F1940" s="140">
        <v>4.8406876598791087</v>
      </c>
    </row>
    <row r="1941" spans="1:6">
      <c r="A1941" s="149" t="s">
        <v>2962</v>
      </c>
      <c r="B1941" s="144" t="s">
        <v>1997</v>
      </c>
      <c r="C1941" s="44">
        <v>14299</v>
      </c>
      <c r="D1941" s="153">
        <f t="shared" si="30"/>
        <v>0.89368749999999997</v>
      </c>
      <c r="E1941" s="43">
        <v>25484.325085278033</v>
      </c>
      <c r="F1941" s="140">
        <v>4.8437342410204565</v>
      </c>
    </row>
    <row r="1942" spans="1:6">
      <c r="A1942" s="149" t="s">
        <v>2962</v>
      </c>
      <c r="B1942" s="144" t="s">
        <v>1998</v>
      </c>
      <c r="C1942" s="44">
        <v>14296</v>
      </c>
      <c r="D1942" s="153">
        <f t="shared" si="30"/>
        <v>0.89350000000000007</v>
      </c>
      <c r="E1942" s="43">
        <v>25478.562148116067</v>
      </c>
      <c r="F1942" s="140">
        <v>4.848303844833822</v>
      </c>
    </row>
    <row r="1943" spans="1:6">
      <c r="A1943" s="149" t="s">
        <v>2962</v>
      </c>
      <c r="B1943" s="144" t="s">
        <v>1999</v>
      </c>
      <c r="C1943" s="44">
        <v>14295</v>
      </c>
      <c r="D1943" s="153">
        <f t="shared" si="30"/>
        <v>0.8934375</v>
      </c>
      <c r="E1943" s="43">
        <v>25476.641585015968</v>
      </c>
      <c r="F1943" s="140">
        <v>4.8498269746876872</v>
      </c>
    </row>
    <row r="1944" spans="1:6">
      <c r="A1944" s="149" t="s">
        <v>2962</v>
      </c>
      <c r="B1944" s="144" t="s">
        <v>2000</v>
      </c>
      <c r="C1944" s="44">
        <v>14293</v>
      </c>
      <c r="D1944" s="153">
        <f t="shared" si="30"/>
        <v>0.89331250000000006</v>
      </c>
      <c r="E1944" s="43">
        <v>25472.801082543978</v>
      </c>
      <c r="F1944" s="140">
        <v>4.8528731273032122</v>
      </c>
    </row>
    <row r="1945" spans="1:6">
      <c r="A1945" s="149" t="s">
        <v>2962</v>
      </c>
      <c r="B1945" s="144" t="s">
        <v>2001</v>
      </c>
      <c r="C1945" s="44">
        <v>14291</v>
      </c>
      <c r="D1945" s="153">
        <f t="shared" si="30"/>
        <v>0.89318750000000002</v>
      </c>
      <c r="E1945" s="43">
        <v>25468.96141148455</v>
      </c>
      <c r="F1945" s="140">
        <v>4.8559191371662109</v>
      </c>
    </row>
    <row r="1946" spans="1:6">
      <c r="A1946" s="149" t="s">
        <v>2962</v>
      </c>
      <c r="B1946" s="144" t="s">
        <v>2002</v>
      </c>
      <c r="C1946" s="44">
        <v>14289</v>
      </c>
      <c r="D1946" s="153">
        <f t="shared" si="30"/>
        <v>0.89306249999999998</v>
      </c>
      <c r="E1946" s="43">
        <v>25465.122571567725</v>
      </c>
      <c r="F1946" s="140">
        <v>4.8589650043215329</v>
      </c>
    </row>
    <row r="1947" spans="1:6">
      <c r="A1947" s="149" t="s">
        <v>2962</v>
      </c>
      <c r="B1947" s="144" t="s">
        <v>2003</v>
      </c>
      <c r="C1947" s="44">
        <v>14287</v>
      </c>
      <c r="D1947" s="153">
        <f t="shared" si="30"/>
        <v>0.89293750000000005</v>
      </c>
      <c r="E1947" s="43">
        <v>25461.284562523673</v>
      </c>
      <c r="F1947" s="140">
        <v>4.862010728813857</v>
      </c>
    </row>
    <row r="1948" spans="1:6">
      <c r="A1948" s="149" t="s">
        <v>2962</v>
      </c>
      <c r="B1948" s="144" t="s">
        <v>2004</v>
      </c>
      <c r="C1948" s="44">
        <v>14286</v>
      </c>
      <c r="D1948" s="153">
        <f t="shared" si="30"/>
        <v>0.89287499999999997</v>
      </c>
      <c r="E1948" s="43">
        <v>25459.365869494643</v>
      </c>
      <c r="F1948" s="140">
        <v>4.8635335375753925</v>
      </c>
    </row>
    <row r="1949" spans="1:6">
      <c r="A1949" s="149" t="s">
        <v>2962</v>
      </c>
      <c r="B1949" s="144" t="s">
        <v>2005</v>
      </c>
      <c r="C1949" s="44">
        <v>14284</v>
      </c>
      <c r="D1949" s="153">
        <f t="shared" si="30"/>
        <v>0.89275000000000004</v>
      </c>
      <c r="E1949" s="43">
        <v>25455.529106254056</v>
      </c>
      <c r="F1949" s="140">
        <v>4.8665790481571207</v>
      </c>
    </row>
    <row r="1950" spans="1:6">
      <c r="A1950" s="149" t="s">
        <v>2962</v>
      </c>
      <c r="B1950" s="144" t="s">
        <v>2006</v>
      </c>
      <c r="C1950" s="44">
        <v>14283</v>
      </c>
      <c r="D1950" s="153">
        <f t="shared" si="30"/>
        <v>0.89268749999999997</v>
      </c>
      <c r="E1950" s="43">
        <v>25453.611035975115</v>
      </c>
      <c r="F1950" s="140">
        <v>4.8681017499884547</v>
      </c>
    </row>
    <row r="1951" spans="1:6">
      <c r="A1951" s="149" t="s">
        <v>2962</v>
      </c>
      <c r="B1951" s="144" t="s">
        <v>2007</v>
      </c>
      <c r="C1951" s="44">
        <v>14281</v>
      </c>
      <c r="D1951" s="153">
        <f t="shared" si="30"/>
        <v>0.89256250000000004</v>
      </c>
      <c r="E1951" s="43">
        <v>25449.775517931521</v>
      </c>
      <c r="F1951" s="140">
        <v>4.871147046760143</v>
      </c>
    </row>
    <row r="1952" spans="1:6">
      <c r="A1952" s="149" t="s">
        <v>2962</v>
      </c>
      <c r="B1952" s="144" t="s">
        <v>2008</v>
      </c>
      <c r="C1952" s="44">
        <v>14280</v>
      </c>
      <c r="D1952" s="153">
        <f t="shared" si="30"/>
        <v>0.89250000000000007</v>
      </c>
      <c r="E1952" s="43">
        <v>25447.858070099523</v>
      </c>
      <c r="F1952" s="140">
        <v>4.8726696417116386</v>
      </c>
    </row>
    <row r="1953" spans="1:6">
      <c r="A1953" s="149" t="s">
        <v>2962</v>
      </c>
      <c r="B1953" s="144" t="s">
        <v>2009</v>
      </c>
      <c r="C1953" s="44">
        <v>14278</v>
      </c>
      <c r="D1953" s="153">
        <f t="shared" si="30"/>
        <v>0.89237500000000003</v>
      </c>
      <c r="E1953" s="43">
        <v>25444.023796646838</v>
      </c>
      <c r="F1953" s="140">
        <v>4.8757147247736725</v>
      </c>
    </row>
    <row r="1954" spans="1:6">
      <c r="A1954" s="149" t="s">
        <v>2962</v>
      </c>
      <c r="B1954" s="144" t="s">
        <v>2010</v>
      </c>
      <c r="C1954" s="44">
        <v>14277</v>
      </c>
      <c r="D1954" s="153">
        <f t="shared" si="30"/>
        <v>0.89231250000000006</v>
      </c>
      <c r="E1954" s="43">
        <v>25442.106970958845</v>
      </c>
      <c r="F1954" s="140">
        <v>4.8772372128954657</v>
      </c>
    </row>
    <row r="1955" spans="1:6">
      <c r="A1955" s="149" t="s">
        <v>2962</v>
      </c>
      <c r="B1955" s="144" t="s">
        <v>2011</v>
      </c>
      <c r="C1955" s="44">
        <v>14276</v>
      </c>
      <c r="D1955" s="153">
        <f t="shared" si="30"/>
        <v>0.89224999999999999</v>
      </c>
      <c r="E1955" s="43">
        <v>25440.190352584901</v>
      </c>
      <c r="F1955" s="140">
        <v>4.8787596654185563</v>
      </c>
    </row>
    <row r="1956" spans="1:6">
      <c r="A1956" s="149" t="s">
        <v>2962</v>
      </c>
      <c r="B1956" s="144" t="s">
        <v>2012</v>
      </c>
      <c r="C1956" s="44">
        <v>14274</v>
      </c>
      <c r="D1956" s="153">
        <f t="shared" si="30"/>
        <v>0.89212500000000006</v>
      </c>
      <c r="E1956" s="43">
        <v>25436.357737644641</v>
      </c>
      <c r="F1956" s="140">
        <v>4.8818044636909121</v>
      </c>
    </row>
    <row r="1957" spans="1:6">
      <c r="A1957" s="149" t="s">
        <v>2962</v>
      </c>
      <c r="B1957" s="144" t="s">
        <v>2013</v>
      </c>
      <c r="C1957" s="44">
        <v>14273</v>
      </c>
      <c r="D1957" s="153">
        <f t="shared" si="30"/>
        <v>0.89206249999999998</v>
      </c>
      <c r="E1957" s="43">
        <v>25434.441741011084</v>
      </c>
      <c r="F1957" s="140">
        <v>4.8833268094513187</v>
      </c>
    </row>
    <row r="1958" spans="1:6">
      <c r="A1958" s="149" t="s">
        <v>2962</v>
      </c>
      <c r="B1958" s="144" t="s">
        <v>2014</v>
      </c>
      <c r="C1958" s="44">
        <v>14272</v>
      </c>
      <c r="D1958" s="153">
        <f t="shared" si="30"/>
        <v>0.89200000000000002</v>
      </c>
      <c r="E1958" s="43">
        <v>25432.525951557094</v>
      </c>
      <c r="F1958" s="140">
        <v>4.8848491196353621</v>
      </c>
    </row>
    <row r="1959" spans="1:6">
      <c r="A1959" s="149" t="s">
        <v>2962</v>
      </c>
      <c r="B1959" s="144" t="s">
        <v>2015</v>
      </c>
      <c r="C1959" s="44">
        <v>14271</v>
      </c>
      <c r="D1959" s="153">
        <f t="shared" si="30"/>
        <v>0.89193750000000005</v>
      </c>
      <c r="E1959" s="43">
        <v>25430.610369249069</v>
      </c>
      <c r="F1959" s="140">
        <v>4.886371394248556</v>
      </c>
    </row>
    <row r="1960" spans="1:6">
      <c r="A1960" s="149" t="s">
        <v>2962</v>
      </c>
      <c r="B1960" s="144" t="s">
        <v>2016</v>
      </c>
      <c r="C1960" s="44">
        <v>14269</v>
      </c>
      <c r="D1960" s="153">
        <f t="shared" si="30"/>
        <v>0.89181250000000001</v>
      </c>
      <c r="E1960" s="43">
        <v>25426.779825936537</v>
      </c>
      <c r="F1960" s="140">
        <v>4.8894158367847353</v>
      </c>
    </row>
    <row r="1961" spans="1:6">
      <c r="A1961" s="149" t="s">
        <v>2962</v>
      </c>
      <c r="B1961" s="144" t="s">
        <v>2017</v>
      </c>
      <c r="C1961" s="44">
        <v>14268</v>
      </c>
      <c r="D1961" s="153">
        <f t="shared" si="30"/>
        <v>0.89175000000000004</v>
      </c>
      <c r="E1961" s="43">
        <v>25424.864864864863</v>
      </c>
      <c r="F1961" s="140">
        <v>4.8909380047189188</v>
      </c>
    </row>
    <row r="1962" spans="1:6">
      <c r="A1962" s="149" t="s">
        <v>2962</v>
      </c>
      <c r="B1962" s="144" t="s">
        <v>2018</v>
      </c>
      <c r="C1962" s="44">
        <v>14267</v>
      </c>
      <c r="D1962" s="153">
        <f t="shared" si="30"/>
        <v>0.89168749999999997</v>
      </c>
      <c r="E1962" s="43">
        <v>25422.950110804821</v>
      </c>
      <c r="F1962" s="140">
        <v>4.8924601371045355</v>
      </c>
    </row>
    <row r="1963" spans="1:6">
      <c r="A1963" s="149" t="s">
        <v>2962</v>
      </c>
      <c r="B1963" s="144" t="s">
        <v>2019</v>
      </c>
      <c r="C1963" s="44">
        <v>14266</v>
      </c>
      <c r="D1963" s="153">
        <f t="shared" si="30"/>
        <v>0.891625</v>
      </c>
      <c r="E1963" s="43">
        <v>25421.035563722842</v>
      </c>
      <c r="F1963" s="140">
        <v>4.8939822339472698</v>
      </c>
    </row>
    <row r="1964" spans="1:6">
      <c r="A1964" s="149" t="s">
        <v>2962</v>
      </c>
      <c r="B1964" s="144" t="s">
        <v>2020</v>
      </c>
      <c r="C1964" s="44">
        <v>14265</v>
      </c>
      <c r="D1964" s="153">
        <f t="shared" si="30"/>
        <v>0.89156250000000004</v>
      </c>
      <c r="E1964" s="43">
        <v>25419.121223585364</v>
      </c>
      <c r="F1964" s="140">
        <v>4.8955042952525787</v>
      </c>
    </row>
    <row r="1965" spans="1:6">
      <c r="A1965" s="149" t="s">
        <v>2962</v>
      </c>
      <c r="B1965" s="144" t="s">
        <v>2021</v>
      </c>
      <c r="C1965" s="44">
        <v>14264</v>
      </c>
      <c r="D1965" s="153">
        <f t="shared" si="30"/>
        <v>0.89150000000000007</v>
      </c>
      <c r="E1965" s="43">
        <v>25417.207090358843</v>
      </c>
      <c r="F1965" s="140">
        <v>4.8970263210260896</v>
      </c>
    </row>
    <row r="1966" spans="1:6">
      <c r="A1966" s="149" t="s">
        <v>2962</v>
      </c>
      <c r="B1966" s="144" t="s">
        <v>2022</v>
      </c>
      <c r="C1966" s="44">
        <v>14263</v>
      </c>
      <c r="D1966" s="153">
        <f t="shared" si="30"/>
        <v>0.89143749999999999</v>
      </c>
      <c r="E1966" s="43">
        <v>25415.293164009727</v>
      </c>
      <c r="F1966" s="140">
        <v>4.89854831127343</v>
      </c>
    </row>
    <row r="1967" spans="1:6">
      <c r="A1967" s="149" t="s">
        <v>2962</v>
      </c>
      <c r="B1967" s="144" t="s">
        <v>2023</v>
      </c>
      <c r="C1967" s="44">
        <v>14262</v>
      </c>
      <c r="D1967" s="153">
        <f t="shared" si="30"/>
        <v>0.89137500000000003</v>
      </c>
      <c r="E1967" s="43">
        <v>25413.379444504484</v>
      </c>
      <c r="F1967" s="140">
        <v>4.900070266000057</v>
      </c>
    </row>
    <row r="1968" spans="1:6">
      <c r="A1968" s="149" t="s">
        <v>2962</v>
      </c>
      <c r="B1968" s="144" t="s">
        <v>2024</v>
      </c>
      <c r="C1968" s="44">
        <v>14261</v>
      </c>
      <c r="D1968" s="153">
        <f t="shared" si="30"/>
        <v>0.89131250000000006</v>
      </c>
      <c r="E1968" s="43">
        <v>25411.465931809587</v>
      </c>
      <c r="F1968" s="140">
        <v>4.901592185211598</v>
      </c>
    </row>
    <row r="1969" spans="1:6">
      <c r="A1969" s="149" t="s">
        <v>2962</v>
      </c>
      <c r="B1969" s="144" t="s">
        <v>2025</v>
      </c>
      <c r="C1969" s="44">
        <v>14261</v>
      </c>
      <c r="D1969" s="153">
        <f t="shared" si="30"/>
        <v>0.89131250000000006</v>
      </c>
      <c r="E1969" s="43">
        <v>25411.465931809587</v>
      </c>
      <c r="F1969" s="140">
        <v>4.901592185211598</v>
      </c>
    </row>
    <row r="1970" spans="1:6">
      <c r="A1970" s="149" t="s">
        <v>2962</v>
      </c>
      <c r="B1970" s="144" t="s">
        <v>2026</v>
      </c>
      <c r="C1970" s="44">
        <v>14260</v>
      </c>
      <c r="D1970" s="153">
        <f t="shared" si="30"/>
        <v>0.89124999999999999</v>
      </c>
      <c r="E1970" s="43">
        <v>25409.552625891505</v>
      </c>
      <c r="F1970" s="140">
        <v>4.9031140689136237</v>
      </c>
    </row>
    <row r="1971" spans="1:6">
      <c r="A1971" s="149" t="s">
        <v>2962</v>
      </c>
      <c r="B1971" s="144" t="s">
        <v>2027</v>
      </c>
      <c r="C1971" s="44">
        <v>14259</v>
      </c>
      <c r="D1971" s="153">
        <f t="shared" si="30"/>
        <v>0.89118750000000002</v>
      </c>
      <c r="E1971" s="43">
        <v>25407.639526716732</v>
      </c>
      <c r="F1971" s="140">
        <v>4.9046359171117047</v>
      </c>
    </row>
    <row r="1972" spans="1:6">
      <c r="A1972" s="149" t="s">
        <v>2962</v>
      </c>
      <c r="B1972" s="144" t="s">
        <v>2028</v>
      </c>
      <c r="C1972" s="44">
        <v>14258</v>
      </c>
      <c r="D1972" s="153">
        <f t="shared" si="30"/>
        <v>0.89112500000000006</v>
      </c>
      <c r="E1972" s="43">
        <v>25405.726634251754</v>
      </c>
      <c r="F1972" s="140">
        <v>4.9061577298114116</v>
      </c>
    </row>
    <row r="1973" spans="1:6">
      <c r="A1973" s="149" t="s">
        <v>2962</v>
      </c>
      <c r="B1973" s="144" t="s">
        <v>2029</v>
      </c>
      <c r="C1973" s="44">
        <v>14257</v>
      </c>
      <c r="D1973" s="153">
        <f t="shared" si="30"/>
        <v>0.89106249999999998</v>
      </c>
      <c r="E1973" s="43">
        <v>25403.813948463077</v>
      </c>
      <c r="F1973" s="140">
        <v>4.9076795070182584</v>
      </c>
    </row>
    <row r="1974" spans="1:6">
      <c r="A1974" s="149" t="s">
        <v>2962</v>
      </c>
      <c r="B1974" s="144" t="s">
        <v>2030</v>
      </c>
      <c r="C1974" s="44">
        <v>14257</v>
      </c>
      <c r="D1974" s="153">
        <f t="shared" si="30"/>
        <v>0.89106249999999998</v>
      </c>
      <c r="E1974" s="43">
        <v>25403.813948463077</v>
      </c>
      <c r="F1974" s="140">
        <v>4.9076795070182584</v>
      </c>
    </row>
    <row r="1975" spans="1:6">
      <c r="A1975" s="149" t="s">
        <v>2962</v>
      </c>
      <c r="B1975" s="144" t="s">
        <v>2031</v>
      </c>
      <c r="C1975" s="44">
        <v>14256</v>
      </c>
      <c r="D1975" s="153">
        <f t="shared" si="30"/>
        <v>0.89100000000000001</v>
      </c>
      <c r="E1975" s="43">
        <v>25401.901469317199</v>
      </c>
      <c r="F1975" s="140">
        <v>4.9092012487378156</v>
      </c>
    </row>
    <row r="1976" spans="1:6">
      <c r="A1976" s="149" t="s">
        <v>2962</v>
      </c>
      <c r="B1976" s="144" t="s">
        <v>2032</v>
      </c>
      <c r="C1976" s="44">
        <v>14255</v>
      </c>
      <c r="D1976" s="153">
        <f t="shared" si="30"/>
        <v>0.89093750000000005</v>
      </c>
      <c r="E1976" s="43">
        <v>25399.98919678064</v>
      </c>
      <c r="F1976" s="140">
        <v>4.9107229549757676</v>
      </c>
    </row>
    <row r="1977" spans="1:6">
      <c r="A1977" s="149" t="s">
        <v>2962</v>
      </c>
      <c r="B1977" s="144" t="s">
        <v>2033</v>
      </c>
      <c r="C1977" s="44">
        <v>14254</v>
      </c>
      <c r="D1977" s="153">
        <f t="shared" si="30"/>
        <v>0.89087499999999997</v>
      </c>
      <c r="E1977" s="43">
        <v>25398.077130819922</v>
      </c>
      <c r="F1977" s="140">
        <v>4.9122446257376282</v>
      </c>
    </row>
    <row r="1978" spans="1:6">
      <c r="A1978" s="149" t="s">
        <v>2962</v>
      </c>
      <c r="B1978" s="144" t="s">
        <v>2034</v>
      </c>
      <c r="C1978" s="44">
        <v>14254</v>
      </c>
      <c r="D1978" s="153">
        <f t="shared" si="30"/>
        <v>0.89087499999999997</v>
      </c>
      <c r="E1978" s="43">
        <v>25398.077130819922</v>
      </c>
      <c r="F1978" s="140">
        <v>4.9122446257376282</v>
      </c>
    </row>
    <row r="1979" spans="1:6">
      <c r="A1979" s="149" t="s">
        <v>2962</v>
      </c>
      <c r="B1979" s="144" t="s">
        <v>2035</v>
      </c>
      <c r="C1979" s="44">
        <v>14253</v>
      </c>
      <c r="D1979" s="153">
        <f t="shared" si="30"/>
        <v>0.89081250000000001</v>
      </c>
      <c r="E1979" s="43">
        <v>25396.165271401565</v>
      </c>
      <c r="F1979" s="140">
        <v>4.9137662610288544</v>
      </c>
    </row>
    <row r="1980" spans="1:6">
      <c r="A1980" s="149" t="s">
        <v>2962</v>
      </c>
      <c r="B1980" s="144" t="s">
        <v>2036</v>
      </c>
      <c r="C1980" s="44">
        <v>14252</v>
      </c>
      <c r="D1980" s="153">
        <f t="shared" si="30"/>
        <v>0.89075000000000004</v>
      </c>
      <c r="E1980" s="43">
        <v>25394.253618492115</v>
      </c>
      <c r="F1980" s="140">
        <v>4.9152878608551305</v>
      </c>
    </row>
    <row r="1981" spans="1:6">
      <c r="A1981" s="149" t="s">
        <v>2962</v>
      </c>
      <c r="B1981" s="144" t="s">
        <v>2037</v>
      </c>
      <c r="C1981" s="44">
        <v>14252</v>
      </c>
      <c r="D1981" s="153">
        <f t="shared" si="30"/>
        <v>0.89075000000000004</v>
      </c>
      <c r="E1981" s="43">
        <v>25394.253618492115</v>
      </c>
      <c r="F1981" s="140">
        <v>4.9152878608551305</v>
      </c>
    </row>
    <row r="1982" spans="1:6">
      <c r="A1982" s="149" t="s">
        <v>2962</v>
      </c>
      <c r="B1982" s="144" t="s">
        <v>2038</v>
      </c>
      <c r="C1982" s="44">
        <v>14251</v>
      </c>
      <c r="D1982" s="153">
        <f t="shared" si="30"/>
        <v>0.89068749999999997</v>
      </c>
      <c r="E1982" s="43">
        <v>25392.34217205811</v>
      </c>
      <c r="F1982" s="140">
        <v>4.9168094252220271</v>
      </c>
    </row>
    <row r="1983" spans="1:6">
      <c r="A1983" s="149" t="s">
        <v>2962</v>
      </c>
      <c r="B1983" s="144" t="s">
        <v>2039</v>
      </c>
      <c r="C1983" s="44">
        <v>14251</v>
      </c>
      <c r="D1983" s="153">
        <f t="shared" si="30"/>
        <v>0.89068749999999997</v>
      </c>
      <c r="E1983" s="43">
        <v>25392.34217205811</v>
      </c>
      <c r="F1983" s="140">
        <v>4.9168094252220271</v>
      </c>
    </row>
    <row r="1984" spans="1:6">
      <c r="A1984" s="149" t="s">
        <v>2962</v>
      </c>
      <c r="B1984" s="144" t="s">
        <v>2040</v>
      </c>
      <c r="C1984" s="44">
        <v>14250</v>
      </c>
      <c r="D1984" s="153">
        <f t="shared" si="30"/>
        <v>0.890625</v>
      </c>
      <c r="E1984" s="43">
        <v>25390.430932066098</v>
      </c>
      <c r="F1984" s="140">
        <v>4.9183309541349445</v>
      </c>
    </row>
    <row r="1985" spans="1:6">
      <c r="A1985" s="149" t="s">
        <v>2962</v>
      </c>
      <c r="B1985" s="144" t="s">
        <v>2041</v>
      </c>
      <c r="C1985" s="44">
        <v>14249</v>
      </c>
      <c r="D1985" s="153">
        <f t="shared" si="30"/>
        <v>0.89056250000000003</v>
      </c>
      <c r="E1985" s="43">
        <v>25388.519898482638</v>
      </c>
      <c r="F1985" s="140">
        <v>4.9198524475996237</v>
      </c>
    </row>
    <row r="1986" spans="1:6">
      <c r="A1986" s="149" t="s">
        <v>2962</v>
      </c>
      <c r="B1986" s="144" t="s">
        <v>2042</v>
      </c>
      <c r="C1986" s="44">
        <v>14249</v>
      </c>
      <c r="D1986" s="153">
        <f t="shared" si="30"/>
        <v>0.89056250000000003</v>
      </c>
      <c r="E1986" s="43">
        <v>25388.519898482638</v>
      </c>
      <c r="F1986" s="140">
        <v>4.9198524475996237</v>
      </c>
    </row>
    <row r="1987" spans="1:6">
      <c r="A1987" s="149" t="s">
        <v>2962</v>
      </c>
      <c r="B1987" s="144" t="s">
        <v>2043</v>
      </c>
      <c r="C1987" s="44">
        <v>14248</v>
      </c>
      <c r="D1987" s="153">
        <f t="shared" si="30"/>
        <v>0.89050000000000007</v>
      </c>
      <c r="E1987" s="43">
        <v>25386.609071274299</v>
      </c>
      <c r="F1987" s="140">
        <v>4.9213739056215786</v>
      </c>
    </row>
    <row r="1988" spans="1:6">
      <c r="A1988" s="149" t="s">
        <v>2962</v>
      </c>
      <c r="B1988" s="144" t="s">
        <v>2044</v>
      </c>
      <c r="C1988" s="44">
        <v>14248</v>
      </c>
      <c r="D1988" s="153">
        <f t="shared" si="30"/>
        <v>0.89050000000000007</v>
      </c>
      <c r="E1988" s="43">
        <v>25386.609071274299</v>
      </c>
      <c r="F1988" s="140">
        <v>4.9213739056215786</v>
      </c>
    </row>
    <row r="1989" spans="1:6">
      <c r="A1989" s="149" t="s">
        <v>2962</v>
      </c>
      <c r="B1989" s="144" t="s">
        <v>2045</v>
      </c>
      <c r="C1989" s="44">
        <v>14247</v>
      </c>
      <c r="D1989" s="153">
        <f t="shared" si="30"/>
        <v>0.89043749999999999</v>
      </c>
      <c r="E1989" s="43">
        <v>25384.698450407646</v>
      </c>
      <c r="F1989" s="140">
        <v>4.9228953282062662</v>
      </c>
    </row>
    <row r="1990" spans="1:6">
      <c r="A1990" s="149" t="s">
        <v>2962</v>
      </c>
      <c r="B1990" s="144" t="s">
        <v>2046</v>
      </c>
      <c r="C1990" s="44">
        <v>14247</v>
      </c>
      <c r="D1990" s="153">
        <f t="shared" si="30"/>
        <v>0.89043749999999999</v>
      </c>
      <c r="E1990" s="43">
        <v>25384.698450407646</v>
      </c>
      <c r="F1990" s="140">
        <v>4.9228953282062662</v>
      </c>
    </row>
    <row r="1991" spans="1:6">
      <c r="A1991" s="149" t="s">
        <v>2962</v>
      </c>
      <c r="B1991" s="144" t="s">
        <v>2047</v>
      </c>
      <c r="C1991" s="44">
        <v>14246</v>
      </c>
      <c r="D1991" s="153">
        <f t="shared" ref="D1991:D2054" si="31">C1991/32768*4.096/2</f>
        <v>0.89037500000000003</v>
      </c>
      <c r="E1991" s="43">
        <v>25382.788035849262</v>
      </c>
      <c r="F1991" s="140">
        <v>4.9244167153593139</v>
      </c>
    </row>
    <row r="1992" spans="1:6">
      <c r="A1992" s="149" t="s">
        <v>2962</v>
      </c>
      <c r="B1992" s="144" t="s">
        <v>2048</v>
      </c>
      <c r="C1992" s="44">
        <v>14246</v>
      </c>
      <c r="D1992" s="153">
        <f t="shared" si="31"/>
        <v>0.89037500000000003</v>
      </c>
      <c r="E1992" s="43">
        <v>25382.788035849262</v>
      </c>
      <c r="F1992" s="140">
        <v>4.9244167153593139</v>
      </c>
    </row>
    <row r="1993" spans="1:6">
      <c r="A1993" s="149" t="s">
        <v>2962</v>
      </c>
      <c r="B1993" s="144" t="s">
        <v>2049</v>
      </c>
      <c r="C1993" s="44">
        <v>14245</v>
      </c>
      <c r="D1993" s="153">
        <f t="shared" si="31"/>
        <v>0.89031250000000006</v>
      </c>
      <c r="E1993" s="43">
        <v>25380.877827565728</v>
      </c>
      <c r="F1993" s="140">
        <v>4.9259380670864061</v>
      </c>
    </row>
    <row r="1994" spans="1:6">
      <c r="A1994" s="149" t="s">
        <v>2962</v>
      </c>
      <c r="B1994" s="144" t="s">
        <v>2050</v>
      </c>
      <c r="C1994" s="44">
        <v>14245</v>
      </c>
      <c r="D1994" s="153">
        <f t="shared" si="31"/>
        <v>0.89031250000000006</v>
      </c>
      <c r="E1994" s="43">
        <v>25380.877827565728</v>
      </c>
      <c r="F1994" s="140">
        <v>4.9259380670864061</v>
      </c>
    </row>
    <row r="1995" spans="1:6">
      <c r="A1995" s="149" t="s">
        <v>2962</v>
      </c>
      <c r="B1995" s="144" t="s">
        <v>2051</v>
      </c>
      <c r="C1995" s="44">
        <v>14244</v>
      </c>
      <c r="D1995" s="153">
        <f t="shared" si="31"/>
        <v>0.89024999999999999</v>
      </c>
      <c r="E1995" s="43">
        <v>25378.967825523647</v>
      </c>
      <c r="F1995" s="140">
        <v>4.927459383392943</v>
      </c>
    </row>
    <row r="1996" spans="1:6">
      <c r="A1996" s="149" t="s">
        <v>2962</v>
      </c>
      <c r="B1996" s="144" t="s">
        <v>2052</v>
      </c>
      <c r="C1996" s="44">
        <v>14244</v>
      </c>
      <c r="D1996" s="153">
        <f t="shared" si="31"/>
        <v>0.89024999999999999</v>
      </c>
      <c r="E1996" s="43">
        <v>25378.967825523647</v>
      </c>
      <c r="F1996" s="140">
        <v>4.927459383392943</v>
      </c>
    </row>
    <row r="1997" spans="1:6">
      <c r="A1997" s="149" t="s">
        <v>2962</v>
      </c>
      <c r="B1997" s="144" t="s">
        <v>2053</v>
      </c>
      <c r="C1997" s="44">
        <v>14243</v>
      </c>
      <c r="D1997" s="153">
        <f t="shared" si="31"/>
        <v>0.89018750000000002</v>
      </c>
      <c r="E1997" s="43">
        <v>25377.058029689608</v>
      </c>
      <c r="F1997" s="140">
        <v>4.9289806642844951</v>
      </c>
    </row>
    <row r="1998" spans="1:6">
      <c r="A1998" s="149" t="s">
        <v>2962</v>
      </c>
      <c r="B1998" s="144" t="s">
        <v>2054</v>
      </c>
      <c r="C1998" s="44">
        <v>14243</v>
      </c>
      <c r="D1998" s="153">
        <f t="shared" si="31"/>
        <v>0.89018750000000002</v>
      </c>
      <c r="E1998" s="43">
        <v>25377.058029689608</v>
      </c>
      <c r="F1998" s="140">
        <v>4.9289806642844951</v>
      </c>
    </row>
    <row r="1999" spans="1:6">
      <c r="A1999" s="149" t="s">
        <v>2962</v>
      </c>
      <c r="B1999" s="144" t="s">
        <v>2055</v>
      </c>
      <c r="C1999" s="44">
        <v>14243</v>
      </c>
      <c r="D1999" s="153">
        <f t="shared" si="31"/>
        <v>0.89018750000000002</v>
      </c>
      <c r="E1999" s="43">
        <v>25377.058029689608</v>
      </c>
      <c r="F1999" s="140">
        <v>4.9289806642844951</v>
      </c>
    </row>
    <row r="2000" spans="1:6">
      <c r="A2000" s="149" t="s">
        <v>2962</v>
      </c>
      <c r="B2000" s="144" t="s">
        <v>2056</v>
      </c>
      <c r="C2000" s="44">
        <v>14242</v>
      </c>
      <c r="D2000" s="153">
        <f t="shared" si="31"/>
        <v>0.89012500000000006</v>
      </c>
      <c r="E2000" s="43">
        <v>25375.148440030229</v>
      </c>
      <c r="F2000" s="140">
        <v>4.9305019097666332</v>
      </c>
    </row>
    <row r="2001" spans="1:6">
      <c r="A2001" s="149" t="s">
        <v>2962</v>
      </c>
      <c r="B2001" s="144" t="s">
        <v>2057</v>
      </c>
      <c r="C2001" s="44">
        <v>14242</v>
      </c>
      <c r="D2001" s="153">
        <f t="shared" si="31"/>
        <v>0.89012500000000006</v>
      </c>
      <c r="E2001" s="43">
        <v>25375.148440030229</v>
      </c>
      <c r="F2001" s="140">
        <v>4.9305019097666332</v>
      </c>
    </row>
    <row r="2002" spans="1:6">
      <c r="A2002" s="149" t="s">
        <v>2962</v>
      </c>
      <c r="B2002" s="144" t="s">
        <v>2058</v>
      </c>
      <c r="C2002" s="44">
        <v>14241</v>
      </c>
      <c r="D2002" s="153">
        <f t="shared" si="31"/>
        <v>0.89006249999999998</v>
      </c>
      <c r="E2002" s="43">
        <v>25373.239056512117</v>
      </c>
      <c r="F2002" s="140">
        <v>4.9320231198449846</v>
      </c>
    </row>
    <row r="2003" spans="1:6">
      <c r="A2003" s="149" t="s">
        <v>2962</v>
      </c>
      <c r="B2003" s="144" t="s">
        <v>2059</v>
      </c>
      <c r="C2003" s="44">
        <v>14241</v>
      </c>
      <c r="D2003" s="153">
        <f t="shared" si="31"/>
        <v>0.89006249999999998</v>
      </c>
      <c r="E2003" s="43">
        <v>25373.239056512117</v>
      </c>
      <c r="F2003" s="140">
        <v>4.9320231198449846</v>
      </c>
    </row>
    <row r="2004" spans="1:6">
      <c r="A2004" s="149" t="s">
        <v>2962</v>
      </c>
      <c r="B2004" s="144" t="s">
        <v>2060</v>
      </c>
      <c r="C2004" s="44">
        <v>14241</v>
      </c>
      <c r="D2004" s="153">
        <f t="shared" si="31"/>
        <v>0.89006249999999998</v>
      </c>
      <c r="E2004" s="43">
        <v>25373.239056512117</v>
      </c>
      <c r="F2004" s="140">
        <v>4.9320231198449846</v>
      </c>
    </row>
    <row r="2005" spans="1:6">
      <c r="A2005" s="149" t="s">
        <v>2962</v>
      </c>
      <c r="B2005" s="144" t="s">
        <v>2061</v>
      </c>
      <c r="C2005" s="44">
        <v>14240</v>
      </c>
      <c r="D2005" s="153">
        <f t="shared" si="31"/>
        <v>0.89</v>
      </c>
      <c r="E2005" s="43">
        <v>25371.329879101901</v>
      </c>
      <c r="F2005" s="140">
        <v>4.9335442945250065</v>
      </c>
    </row>
    <row r="2006" spans="1:6">
      <c r="A2006" s="149" t="s">
        <v>2962</v>
      </c>
      <c r="B2006" s="144" t="s">
        <v>2062</v>
      </c>
      <c r="C2006" s="44">
        <v>14240</v>
      </c>
      <c r="D2006" s="153">
        <f t="shared" si="31"/>
        <v>0.89</v>
      </c>
      <c r="E2006" s="43">
        <v>25371.329879101901</v>
      </c>
      <c r="F2006" s="140">
        <v>4.9335442945250065</v>
      </c>
    </row>
    <row r="2007" spans="1:6">
      <c r="A2007" s="149" t="s">
        <v>2962</v>
      </c>
      <c r="B2007" s="144" t="s">
        <v>2063</v>
      </c>
      <c r="C2007" s="44">
        <v>14240</v>
      </c>
      <c r="D2007" s="153">
        <f t="shared" si="31"/>
        <v>0.89</v>
      </c>
      <c r="E2007" s="43">
        <v>25371.329879101901</v>
      </c>
      <c r="F2007" s="140">
        <v>4.9335442945250065</v>
      </c>
    </row>
    <row r="2008" spans="1:6">
      <c r="A2008" s="149" t="s">
        <v>2962</v>
      </c>
      <c r="B2008" s="144" t="s">
        <v>2064</v>
      </c>
      <c r="C2008" s="44">
        <v>14239</v>
      </c>
      <c r="D2008" s="153">
        <f t="shared" si="31"/>
        <v>0.88993750000000005</v>
      </c>
      <c r="E2008" s="43">
        <v>25369.420907766205</v>
      </c>
      <c r="F2008" s="140">
        <v>4.9350654338122695</v>
      </c>
    </row>
    <row r="2009" spans="1:6">
      <c r="A2009" s="149" t="s">
        <v>2962</v>
      </c>
      <c r="B2009" s="144" t="s">
        <v>2065</v>
      </c>
      <c r="C2009" s="44">
        <v>14239</v>
      </c>
      <c r="D2009" s="153">
        <f t="shared" si="31"/>
        <v>0.88993750000000005</v>
      </c>
      <c r="E2009" s="43">
        <v>25369.420907766205</v>
      </c>
      <c r="F2009" s="140">
        <v>4.9350654338122695</v>
      </c>
    </row>
    <row r="2010" spans="1:6">
      <c r="A2010" s="149" t="s">
        <v>2962</v>
      </c>
      <c r="B2010" s="144" t="s">
        <v>2066</v>
      </c>
      <c r="C2010" s="44">
        <v>14239</v>
      </c>
      <c r="D2010" s="153">
        <f t="shared" si="31"/>
        <v>0.88993750000000005</v>
      </c>
      <c r="E2010" s="43">
        <v>25369.420907766205</v>
      </c>
      <c r="F2010" s="140">
        <v>4.9350654338122695</v>
      </c>
    </row>
    <row r="2011" spans="1:6">
      <c r="A2011" s="149" t="s">
        <v>2962</v>
      </c>
      <c r="B2011" s="144" t="s">
        <v>2067</v>
      </c>
      <c r="C2011" s="44">
        <v>14238</v>
      </c>
      <c r="D2011" s="153">
        <f t="shared" si="31"/>
        <v>0.88987499999999997</v>
      </c>
      <c r="E2011" s="43">
        <v>25367.512142471667</v>
      </c>
      <c r="F2011" s="140">
        <v>4.936586537712401</v>
      </c>
    </row>
    <row r="2012" spans="1:6">
      <c r="A2012" s="149" t="s">
        <v>2962</v>
      </c>
      <c r="B2012" s="144" t="s">
        <v>2068</v>
      </c>
      <c r="C2012" s="44">
        <v>14238</v>
      </c>
      <c r="D2012" s="153">
        <f t="shared" si="31"/>
        <v>0.88987499999999997</v>
      </c>
      <c r="E2012" s="43">
        <v>25367.512142471667</v>
      </c>
      <c r="F2012" s="140">
        <v>4.936586537712401</v>
      </c>
    </row>
    <row r="2013" spans="1:6">
      <c r="A2013" s="149" t="s">
        <v>2962</v>
      </c>
      <c r="B2013" s="144" t="s">
        <v>2069</v>
      </c>
      <c r="C2013" s="44">
        <v>14238</v>
      </c>
      <c r="D2013" s="153">
        <f t="shared" si="31"/>
        <v>0.88987499999999997</v>
      </c>
      <c r="E2013" s="43">
        <v>25367.512142471667</v>
      </c>
      <c r="F2013" s="140">
        <v>4.936586537712401</v>
      </c>
    </row>
    <row r="2014" spans="1:6">
      <c r="A2014" s="149" t="s">
        <v>2962</v>
      </c>
      <c r="B2014" s="144" t="s">
        <v>2070</v>
      </c>
      <c r="C2014" s="44">
        <v>14237</v>
      </c>
      <c r="D2014" s="153">
        <f t="shared" si="31"/>
        <v>0.88981250000000001</v>
      </c>
      <c r="E2014" s="43">
        <v>25365.603583184933</v>
      </c>
      <c r="F2014" s="140">
        <v>4.9381076062308011</v>
      </c>
    </row>
    <row r="2015" spans="1:6">
      <c r="A2015" s="149" t="s">
        <v>2962</v>
      </c>
      <c r="B2015" s="144" t="s">
        <v>2071</v>
      </c>
      <c r="C2015" s="44">
        <v>14237</v>
      </c>
      <c r="D2015" s="153">
        <f t="shared" si="31"/>
        <v>0.88981250000000001</v>
      </c>
      <c r="E2015" s="43">
        <v>25365.603583184933</v>
      </c>
      <c r="F2015" s="140">
        <v>4.9381076062308011</v>
      </c>
    </row>
    <row r="2016" spans="1:6">
      <c r="A2016" s="149" t="s">
        <v>2962</v>
      </c>
      <c r="B2016" s="144" t="s">
        <v>2072</v>
      </c>
      <c r="C2016" s="44">
        <v>14237</v>
      </c>
      <c r="D2016" s="153">
        <f t="shared" si="31"/>
        <v>0.88981250000000001</v>
      </c>
      <c r="E2016" s="43">
        <v>25365.603583184933</v>
      </c>
      <c r="F2016" s="140">
        <v>4.9381076062308011</v>
      </c>
    </row>
    <row r="2017" spans="1:6">
      <c r="A2017" s="149" t="s">
        <v>2962</v>
      </c>
      <c r="B2017" s="144" t="s">
        <v>2073</v>
      </c>
      <c r="C2017" s="44">
        <v>14237</v>
      </c>
      <c r="D2017" s="153">
        <f t="shared" si="31"/>
        <v>0.88981250000000001</v>
      </c>
      <c r="E2017" s="43">
        <v>25365.603583184933</v>
      </c>
      <c r="F2017" s="140">
        <v>4.9381076062308011</v>
      </c>
    </row>
    <row r="2018" spans="1:6">
      <c r="A2018" s="149" t="s">
        <v>2962</v>
      </c>
      <c r="B2018" s="144" t="s">
        <v>2074</v>
      </c>
      <c r="C2018" s="44">
        <v>14236</v>
      </c>
      <c r="D2018" s="153">
        <f t="shared" si="31"/>
        <v>0.88975000000000004</v>
      </c>
      <c r="E2018" s="43">
        <v>25363.695229872654</v>
      </c>
      <c r="F2018" s="140">
        <v>4.9396286393732112</v>
      </c>
    </row>
    <row r="2019" spans="1:6">
      <c r="A2019" s="149" t="s">
        <v>2962</v>
      </c>
      <c r="B2019" s="144" t="s">
        <v>2075</v>
      </c>
      <c r="C2019" s="44">
        <v>14236</v>
      </c>
      <c r="D2019" s="153">
        <f t="shared" si="31"/>
        <v>0.88975000000000004</v>
      </c>
      <c r="E2019" s="43">
        <v>25363.695229872654</v>
      </c>
      <c r="F2019" s="140">
        <v>4.9396286393732112</v>
      </c>
    </row>
    <row r="2020" spans="1:6">
      <c r="A2020" s="149" t="s">
        <v>2962</v>
      </c>
      <c r="B2020" s="144" t="s">
        <v>2076</v>
      </c>
      <c r="C2020" s="44">
        <v>14236</v>
      </c>
      <c r="D2020" s="153">
        <f t="shared" si="31"/>
        <v>0.88975000000000004</v>
      </c>
      <c r="E2020" s="43">
        <v>25363.695229872654</v>
      </c>
      <c r="F2020" s="140">
        <v>4.9396286393732112</v>
      </c>
    </row>
    <row r="2021" spans="1:6">
      <c r="A2021" s="149" t="s">
        <v>2962</v>
      </c>
      <c r="B2021" s="144" t="s">
        <v>2077</v>
      </c>
      <c r="C2021" s="44">
        <v>14236</v>
      </c>
      <c r="D2021" s="153">
        <f t="shared" si="31"/>
        <v>0.88975000000000004</v>
      </c>
      <c r="E2021" s="43">
        <v>25363.695229872654</v>
      </c>
      <c r="F2021" s="140">
        <v>4.9396286393732112</v>
      </c>
    </row>
    <row r="2022" spans="1:6">
      <c r="A2022" s="149" t="s">
        <v>2962</v>
      </c>
      <c r="B2022" s="144" t="s">
        <v>2078</v>
      </c>
      <c r="C2022" s="44">
        <v>14235</v>
      </c>
      <c r="D2022" s="153">
        <f t="shared" si="31"/>
        <v>0.88968749999999996</v>
      </c>
      <c r="E2022" s="43">
        <v>25361.787082501483</v>
      </c>
      <c r="F2022" s="140">
        <v>4.941149637145088</v>
      </c>
    </row>
    <row r="2023" spans="1:6">
      <c r="A2023" s="149" t="s">
        <v>2962</v>
      </c>
      <c r="B2023" s="144" t="s">
        <v>2079</v>
      </c>
      <c r="C2023" s="44">
        <v>14235</v>
      </c>
      <c r="D2023" s="153">
        <f t="shared" si="31"/>
        <v>0.88968749999999996</v>
      </c>
      <c r="E2023" s="43">
        <v>25361.787082501483</v>
      </c>
      <c r="F2023" s="140">
        <v>4.941149637145088</v>
      </c>
    </row>
    <row r="2024" spans="1:6">
      <c r="A2024" s="149" t="s">
        <v>2962</v>
      </c>
      <c r="B2024" s="144" t="s">
        <v>2080</v>
      </c>
      <c r="C2024" s="44">
        <v>14235</v>
      </c>
      <c r="D2024" s="153">
        <f t="shared" si="31"/>
        <v>0.88968749999999996</v>
      </c>
      <c r="E2024" s="43">
        <v>25361.787082501483</v>
      </c>
      <c r="F2024" s="140">
        <v>4.941149637145088</v>
      </c>
    </row>
    <row r="2025" spans="1:6">
      <c r="A2025" s="149" t="s">
        <v>2962</v>
      </c>
      <c r="B2025" s="145" t="s">
        <v>2081</v>
      </c>
      <c r="C2025" s="142">
        <v>14235</v>
      </c>
      <c r="D2025" s="153">
        <f t="shared" si="31"/>
        <v>0.88968749999999996</v>
      </c>
      <c r="E2025" s="143">
        <v>25361.787082501483</v>
      </c>
      <c r="F2025" s="141">
        <v>4.941149637145088</v>
      </c>
    </row>
    <row r="2026" spans="1:6">
      <c r="A2026" s="149" t="s">
        <v>2962</v>
      </c>
      <c r="B2026" s="144" t="s">
        <v>2082</v>
      </c>
      <c r="C2026" s="44">
        <v>14234</v>
      </c>
      <c r="D2026" s="153">
        <f t="shared" si="31"/>
        <v>0.889625</v>
      </c>
      <c r="E2026" s="43">
        <v>25359.879141038091</v>
      </c>
      <c r="F2026" s="140">
        <v>4.9426705995519455</v>
      </c>
    </row>
    <row r="2027" spans="1:6">
      <c r="A2027" s="149" t="s">
        <v>2962</v>
      </c>
      <c r="B2027" s="144" t="s">
        <v>2083</v>
      </c>
      <c r="C2027" s="44">
        <v>14234</v>
      </c>
      <c r="D2027" s="153">
        <f t="shared" si="31"/>
        <v>0.889625</v>
      </c>
      <c r="E2027" s="43">
        <v>25359.879141038091</v>
      </c>
      <c r="F2027" s="140">
        <v>4.9426705995519455</v>
      </c>
    </row>
    <row r="2028" spans="1:6">
      <c r="A2028" s="149" t="s">
        <v>2962</v>
      </c>
      <c r="B2028" s="144" t="s">
        <v>2084</v>
      </c>
      <c r="C2028" s="44">
        <v>14234</v>
      </c>
      <c r="D2028" s="153">
        <f t="shared" si="31"/>
        <v>0.889625</v>
      </c>
      <c r="E2028" s="43">
        <v>25359.879141038091</v>
      </c>
      <c r="F2028" s="140">
        <v>4.9426705995519455</v>
      </c>
    </row>
    <row r="2029" spans="1:6">
      <c r="A2029" s="149" t="s">
        <v>2962</v>
      </c>
      <c r="B2029" s="144" t="s">
        <v>2085</v>
      </c>
      <c r="C2029" s="44">
        <v>14234</v>
      </c>
      <c r="D2029" s="153">
        <f t="shared" si="31"/>
        <v>0.889625</v>
      </c>
      <c r="E2029" s="43">
        <v>25359.879141038091</v>
      </c>
      <c r="F2029" s="140">
        <v>4.9426705995519455</v>
      </c>
    </row>
    <row r="2030" spans="1:6">
      <c r="A2030" s="149" t="s">
        <v>2962</v>
      </c>
      <c r="B2030" s="144" t="s">
        <v>2086</v>
      </c>
      <c r="C2030" s="44">
        <v>14234</v>
      </c>
      <c r="D2030" s="153">
        <f t="shared" si="31"/>
        <v>0.889625</v>
      </c>
      <c r="E2030" s="43">
        <v>25359.879141038091</v>
      </c>
      <c r="F2030" s="140">
        <v>4.9426705995519455</v>
      </c>
    </row>
    <row r="2031" spans="1:6">
      <c r="A2031" s="149" t="s">
        <v>2962</v>
      </c>
      <c r="B2031" s="144" t="s">
        <v>2087</v>
      </c>
      <c r="C2031" s="44">
        <v>14234</v>
      </c>
      <c r="D2031" s="153">
        <f t="shared" si="31"/>
        <v>0.889625</v>
      </c>
      <c r="E2031" s="43">
        <v>25359.879141038091</v>
      </c>
      <c r="F2031" s="140">
        <v>4.9426705995519455</v>
      </c>
    </row>
    <row r="2032" spans="1:6">
      <c r="A2032" s="149" t="s">
        <v>2962</v>
      </c>
      <c r="B2032" s="144" t="s">
        <v>2088</v>
      </c>
      <c r="C2032" s="44">
        <v>14233</v>
      </c>
      <c r="D2032" s="153">
        <f t="shared" si="31"/>
        <v>0.88956250000000003</v>
      </c>
      <c r="E2032" s="43">
        <v>25357.971405449149</v>
      </c>
      <c r="F2032" s="140">
        <v>4.944191526599468</v>
      </c>
    </row>
    <row r="2033" spans="1:6">
      <c r="A2033" s="149" t="s">
        <v>2962</v>
      </c>
      <c r="B2033" s="144" t="s">
        <v>2089</v>
      </c>
      <c r="C2033" s="44">
        <v>14233</v>
      </c>
      <c r="D2033" s="153">
        <f t="shared" si="31"/>
        <v>0.88956250000000003</v>
      </c>
      <c r="E2033" s="43">
        <v>25357.971405449149</v>
      </c>
      <c r="F2033" s="140">
        <v>4.944191526599468</v>
      </c>
    </row>
    <row r="2034" spans="1:6">
      <c r="A2034" s="149" t="s">
        <v>2962</v>
      </c>
      <c r="B2034" s="144" t="s">
        <v>2090</v>
      </c>
      <c r="C2034" s="44">
        <v>14233</v>
      </c>
      <c r="D2034" s="153">
        <f t="shared" si="31"/>
        <v>0.88956250000000003</v>
      </c>
      <c r="E2034" s="43">
        <v>25357.971405449149</v>
      </c>
      <c r="F2034" s="140">
        <v>4.944191526599468</v>
      </c>
    </row>
    <row r="2035" spans="1:6">
      <c r="A2035" s="149" t="s">
        <v>2962</v>
      </c>
      <c r="B2035" s="144" t="s">
        <v>2091</v>
      </c>
      <c r="C2035" s="44">
        <v>14233</v>
      </c>
      <c r="D2035" s="153">
        <f t="shared" si="31"/>
        <v>0.88956250000000003</v>
      </c>
      <c r="E2035" s="43">
        <v>25357.971405449149</v>
      </c>
      <c r="F2035" s="140">
        <v>4.944191526599468</v>
      </c>
    </row>
    <row r="2036" spans="1:6">
      <c r="A2036" s="149" t="s">
        <v>2962</v>
      </c>
      <c r="B2036" s="144" t="s">
        <v>2092</v>
      </c>
      <c r="C2036" s="44">
        <v>14233</v>
      </c>
      <c r="D2036" s="153">
        <f t="shared" si="31"/>
        <v>0.88956250000000003</v>
      </c>
      <c r="E2036" s="43">
        <v>25357.971405449149</v>
      </c>
      <c r="F2036" s="140">
        <v>4.944191526599468</v>
      </c>
    </row>
    <row r="2037" spans="1:6">
      <c r="A2037" s="149" t="s">
        <v>2962</v>
      </c>
      <c r="B2037" s="144" t="s">
        <v>2093</v>
      </c>
      <c r="C2037" s="44">
        <v>14232</v>
      </c>
      <c r="D2037" s="153">
        <f t="shared" si="31"/>
        <v>0.88950000000000007</v>
      </c>
      <c r="E2037" s="43">
        <v>25356.063875701337</v>
      </c>
      <c r="F2037" s="140">
        <v>4.9457124182930556</v>
      </c>
    </row>
    <row r="2038" spans="1:6">
      <c r="A2038" s="149" t="s">
        <v>2962</v>
      </c>
      <c r="B2038" s="144" t="s">
        <v>2094</v>
      </c>
      <c r="C2038" s="44">
        <v>14232</v>
      </c>
      <c r="D2038" s="153">
        <f t="shared" si="31"/>
        <v>0.88950000000000007</v>
      </c>
      <c r="E2038" s="43">
        <v>25356.063875701337</v>
      </c>
      <c r="F2038" s="140">
        <v>4.9457124182930556</v>
      </c>
    </row>
    <row r="2039" spans="1:6">
      <c r="A2039" s="149" t="s">
        <v>2962</v>
      </c>
      <c r="B2039" s="144" t="s">
        <v>2095</v>
      </c>
      <c r="C2039" s="44">
        <v>14232</v>
      </c>
      <c r="D2039" s="153">
        <f t="shared" si="31"/>
        <v>0.88950000000000007</v>
      </c>
      <c r="E2039" s="43">
        <v>25356.063875701337</v>
      </c>
      <c r="F2039" s="140">
        <v>4.9457124182930556</v>
      </c>
    </row>
    <row r="2040" spans="1:6">
      <c r="A2040" s="149" t="s">
        <v>2962</v>
      </c>
      <c r="B2040" s="144" t="s">
        <v>2096</v>
      </c>
      <c r="C2040" s="44">
        <v>14232</v>
      </c>
      <c r="D2040" s="153">
        <f t="shared" si="31"/>
        <v>0.88950000000000007</v>
      </c>
      <c r="E2040" s="43">
        <v>25356.063875701337</v>
      </c>
      <c r="F2040" s="140">
        <v>4.9457124182930556</v>
      </c>
    </row>
    <row r="2041" spans="1:6">
      <c r="A2041" s="149" t="s">
        <v>2962</v>
      </c>
      <c r="B2041" s="144" t="s">
        <v>2097</v>
      </c>
      <c r="C2041" s="44">
        <v>14232</v>
      </c>
      <c r="D2041" s="153">
        <f t="shared" si="31"/>
        <v>0.88950000000000007</v>
      </c>
      <c r="E2041" s="43">
        <v>25356.063875701337</v>
      </c>
      <c r="F2041" s="140">
        <v>4.9457124182930556</v>
      </c>
    </row>
    <row r="2042" spans="1:6">
      <c r="A2042" s="149" t="s">
        <v>2962</v>
      </c>
      <c r="B2042" s="144" t="s">
        <v>2098</v>
      </c>
      <c r="C2042" s="44">
        <v>14232</v>
      </c>
      <c r="D2042" s="153">
        <f t="shared" si="31"/>
        <v>0.88950000000000007</v>
      </c>
      <c r="E2042" s="43">
        <v>25356.063875701337</v>
      </c>
      <c r="F2042" s="140">
        <v>4.9457124182930556</v>
      </c>
    </row>
    <row r="2043" spans="1:6">
      <c r="A2043" s="149" t="s">
        <v>2962</v>
      </c>
      <c r="B2043" s="144" t="s">
        <v>2099</v>
      </c>
      <c r="C2043" s="44">
        <v>14232</v>
      </c>
      <c r="D2043" s="153">
        <f t="shared" si="31"/>
        <v>0.88950000000000007</v>
      </c>
      <c r="E2043" s="43">
        <v>25356.063875701337</v>
      </c>
      <c r="F2043" s="140">
        <v>4.9457124182930556</v>
      </c>
    </row>
    <row r="2044" spans="1:6">
      <c r="A2044" s="149" t="s">
        <v>2962</v>
      </c>
      <c r="B2044" s="144" t="s">
        <v>2100</v>
      </c>
      <c r="C2044" s="44">
        <v>14231</v>
      </c>
      <c r="D2044" s="153">
        <f t="shared" si="31"/>
        <v>0.88943749999999999</v>
      </c>
      <c r="E2044" s="43">
        <v>25354.156551761342</v>
      </c>
      <c r="F2044" s="140">
        <v>4.947233274638279</v>
      </c>
    </row>
    <row r="2045" spans="1:6">
      <c r="A2045" s="149" t="s">
        <v>2962</v>
      </c>
      <c r="B2045" s="144" t="s">
        <v>2101</v>
      </c>
      <c r="C2045" s="44">
        <v>14231</v>
      </c>
      <c r="D2045" s="153">
        <f t="shared" si="31"/>
        <v>0.88943749999999999</v>
      </c>
      <c r="E2045" s="43">
        <v>25354.156551761342</v>
      </c>
      <c r="F2045" s="140">
        <v>4.947233274638279</v>
      </c>
    </row>
    <row r="2046" spans="1:6">
      <c r="A2046" s="149" t="s">
        <v>2962</v>
      </c>
      <c r="B2046" s="144" t="s">
        <v>2102</v>
      </c>
      <c r="C2046" s="44">
        <v>14231</v>
      </c>
      <c r="D2046" s="153">
        <f t="shared" si="31"/>
        <v>0.88943749999999999</v>
      </c>
      <c r="E2046" s="43">
        <v>25354.156551761342</v>
      </c>
      <c r="F2046" s="140">
        <v>4.947233274638279</v>
      </c>
    </row>
    <row r="2047" spans="1:6">
      <c r="A2047" s="149" t="s">
        <v>2962</v>
      </c>
      <c r="B2047" s="144" t="s">
        <v>2103</v>
      </c>
      <c r="C2047" s="44">
        <v>14231</v>
      </c>
      <c r="D2047" s="153">
        <f t="shared" si="31"/>
        <v>0.88943749999999999</v>
      </c>
      <c r="E2047" s="43">
        <v>25354.156551761342</v>
      </c>
      <c r="F2047" s="140">
        <v>4.947233274638279</v>
      </c>
    </row>
    <row r="2048" spans="1:6">
      <c r="A2048" s="149" t="s">
        <v>2962</v>
      </c>
      <c r="B2048" s="144" t="s">
        <v>2104</v>
      </c>
      <c r="C2048" s="44">
        <v>14231</v>
      </c>
      <c r="D2048" s="153">
        <f t="shared" si="31"/>
        <v>0.88943749999999999</v>
      </c>
      <c r="E2048" s="43">
        <v>25354.156551761342</v>
      </c>
      <c r="F2048" s="140">
        <v>4.947233274638279</v>
      </c>
    </row>
    <row r="2049" spans="1:6">
      <c r="A2049" s="149" t="s">
        <v>2962</v>
      </c>
      <c r="B2049" s="144" t="s">
        <v>2105</v>
      </c>
      <c r="C2049" s="44">
        <v>14231</v>
      </c>
      <c r="D2049" s="153">
        <f t="shared" si="31"/>
        <v>0.88943749999999999</v>
      </c>
      <c r="E2049" s="43">
        <v>25354.156551761342</v>
      </c>
      <c r="F2049" s="140">
        <v>4.947233274638279</v>
      </c>
    </row>
    <row r="2050" spans="1:6">
      <c r="A2050" s="149" t="s">
        <v>2962</v>
      </c>
      <c r="B2050" s="144" t="s">
        <v>2106</v>
      </c>
      <c r="C2050" s="44">
        <v>14231</v>
      </c>
      <c r="D2050" s="153">
        <f t="shared" si="31"/>
        <v>0.88943749999999999</v>
      </c>
      <c r="E2050" s="43">
        <v>25354.156551761342</v>
      </c>
      <c r="F2050" s="140">
        <v>4.947233274638279</v>
      </c>
    </row>
    <row r="2051" spans="1:6">
      <c r="A2051" s="149" t="s">
        <v>2962</v>
      </c>
      <c r="B2051" s="144" t="s">
        <v>2107</v>
      </c>
      <c r="C2051" s="44">
        <v>14230</v>
      </c>
      <c r="D2051" s="153">
        <f t="shared" si="31"/>
        <v>0.88937500000000003</v>
      </c>
      <c r="E2051" s="43">
        <v>25352.249433595858</v>
      </c>
      <c r="F2051" s="140">
        <v>4.9487540956407656</v>
      </c>
    </row>
    <row r="2052" spans="1:6">
      <c r="A2052" s="149" t="s">
        <v>2962</v>
      </c>
      <c r="B2052" s="144" t="s">
        <v>2108</v>
      </c>
      <c r="C2052" s="44">
        <v>14230</v>
      </c>
      <c r="D2052" s="153">
        <f t="shared" si="31"/>
        <v>0.88937500000000003</v>
      </c>
      <c r="E2052" s="43">
        <v>25352.249433595858</v>
      </c>
      <c r="F2052" s="140">
        <v>4.9487540956407656</v>
      </c>
    </row>
    <row r="2053" spans="1:6">
      <c r="A2053" s="149" t="s">
        <v>2962</v>
      </c>
      <c r="B2053" s="144" t="s">
        <v>2109</v>
      </c>
      <c r="C2053" s="44">
        <v>14230</v>
      </c>
      <c r="D2053" s="153">
        <f t="shared" si="31"/>
        <v>0.88937500000000003</v>
      </c>
      <c r="E2053" s="43">
        <v>25352.249433595858</v>
      </c>
      <c r="F2053" s="140">
        <v>4.9487540956407656</v>
      </c>
    </row>
    <row r="2054" spans="1:6">
      <c r="A2054" s="149" t="s">
        <v>2962</v>
      </c>
      <c r="B2054" s="144" t="s">
        <v>2110</v>
      </c>
      <c r="C2054" s="44">
        <v>14230</v>
      </c>
      <c r="D2054" s="153">
        <f t="shared" si="31"/>
        <v>0.88937500000000003</v>
      </c>
      <c r="E2054" s="43">
        <v>25352.249433595858</v>
      </c>
      <c r="F2054" s="140">
        <v>4.9487540956407656</v>
      </c>
    </row>
    <row r="2055" spans="1:6">
      <c r="A2055" s="149" t="s">
        <v>2962</v>
      </c>
      <c r="B2055" s="144" t="s">
        <v>2111</v>
      </c>
      <c r="C2055" s="44">
        <v>14230</v>
      </c>
      <c r="D2055" s="153">
        <f t="shared" ref="D2055:D2118" si="32">C2055/32768*4.096/2</f>
        <v>0.88937500000000003</v>
      </c>
      <c r="E2055" s="43">
        <v>25352.249433595858</v>
      </c>
      <c r="F2055" s="140">
        <v>4.9487540956407656</v>
      </c>
    </row>
    <row r="2056" spans="1:6">
      <c r="A2056" s="149" t="s">
        <v>2962</v>
      </c>
      <c r="B2056" s="144" t="s">
        <v>2112</v>
      </c>
      <c r="C2056" s="44">
        <v>14230</v>
      </c>
      <c r="D2056" s="153">
        <f t="shared" si="32"/>
        <v>0.88937500000000003</v>
      </c>
      <c r="E2056" s="43">
        <v>25352.249433595858</v>
      </c>
      <c r="F2056" s="140">
        <v>4.9487540956407656</v>
      </c>
    </row>
    <row r="2057" spans="1:6">
      <c r="A2057" s="149" t="s">
        <v>2962</v>
      </c>
      <c r="B2057" s="144" t="s">
        <v>2113</v>
      </c>
      <c r="C2057" s="44">
        <v>14230</v>
      </c>
      <c r="D2057" s="153">
        <f t="shared" si="32"/>
        <v>0.88937500000000003</v>
      </c>
      <c r="E2057" s="43">
        <v>25352.249433595858</v>
      </c>
      <c r="F2057" s="140">
        <v>4.9487540956407656</v>
      </c>
    </row>
    <row r="2058" spans="1:6">
      <c r="A2058" s="149" t="s">
        <v>2962</v>
      </c>
      <c r="B2058" s="144" t="s">
        <v>2114</v>
      </c>
      <c r="C2058" s="44">
        <v>14230</v>
      </c>
      <c r="D2058" s="153">
        <f t="shared" si="32"/>
        <v>0.88937500000000003</v>
      </c>
      <c r="E2058" s="43">
        <v>25352.249433595858</v>
      </c>
      <c r="F2058" s="140">
        <v>4.9487540956407656</v>
      </c>
    </row>
    <row r="2059" spans="1:6">
      <c r="A2059" s="149" t="s">
        <v>2962</v>
      </c>
      <c r="B2059" s="144" t="s">
        <v>2115</v>
      </c>
      <c r="C2059" s="44">
        <v>14229</v>
      </c>
      <c r="D2059" s="153">
        <f t="shared" si="32"/>
        <v>0.88931250000000006</v>
      </c>
      <c r="E2059" s="43">
        <v>25350.342521171584</v>
      </c>
      <c r="F2059" s="140">
        <v>4.9502748813059725</v>
      </c>
    </row>
    <row r="2060" spans="1:6">
      <c r="A2060" s="149" t="s">
        <v>2962</v>
      </c>
      <c r="B2060" s="144" t="s">
        <v>2116</v>
      </c>
      <c r="C2060" s="44">
        <v>14229</v>
      </c>
      <c r="D2060" s="153">
        <f t="shared" si="32"/>
        <v>0.88931250000000006</v>
      </c>
      <c r="E2060" s="43">
        <v>25350.342521171584</v>
      </c>
      <c r="F2060" s="140">
        <v>4.9502748813059725</v>
      </c>
    </row>
    <row r="2061" spans="1:6">
      <c r="A2061" s="149" t="s">
        <v>2962</v>
      </c>
      <c r="B2061" s="144" t="s">
        <v>2117</v>
      </c>
      <c r="C2061" s="44">
        <v>14229</v>
      </c>
      <c r="D2061" s="153">
        <f t="shared" si="32"/>
        <v>0.88931250000000006</v>
      </c>
      <c r="E2061" s="43">
        <v>25350.342521171584</v>
      </c>
      <c r="F2061" s="140">
        <v>4.9502748813059725</v>
      </c>
    </row>
    <row r="2062" spans="1:6">
      <c r="A2062" s="149" t="s">
        <v>2962</v>
      </c>
      <c r="B2062" s="144" t="s">
        <v>2118</v>
      </c>
      <c r="C2062" s="44">
        <v>14229</v>
      </c>
      <c r="D2062" s="153">
        <f t="shared" si="32"/>
        <v>0.88931250000000006</v>
      </c>
      <c r="E2062" s="43">
        <v>25350.342521171584</v>
      </c>
      <c r="F2062" s="140">
        <v>4.9502748813059725</v>
      </c>
    </row>
    <row r="2063" spans="1:6">
      <c r="A2063" s="149" t="s">
        <v>2962</v>
      </c>
      <c r="B2063" s="144" t="s">
        <v>2119</v>
      </c>
      <c r="C2063" s="44">
        <v>14229</v>
      </c>
      <c r="D2063" s="153">
        <f t="shared" si="32"/>
        <v>0.88931250000000006</v>
      </c>
      <c r="E2063" s="43">
        <v>25350.342521171584</v>
      </c>
      <c r="F2063" s="140">
        <v>4.9502748813059725</v>
      </c>
    </row>
    <row r="2064" spans="1:6">
      <c r="A2064" s="149" t="s">
        <v>2962</v>
      </c>
      <c r="B2064" s="144" t="s">
        <v>2120</v>
      </c>
      <c r="C2064" s="44">
        <v>14229</v>
      </c>
      <c r="D2064" s="153">
        <f t="shared" si="32"/>
        <v>0.88931250000000006</v>
      </c>
      <c r="E2064" s="43">
        <v>25350.342521171584</v>
      </c>
      <c r="F2064" s="140">
        <v>4.9502748813059725</v>
      </c>
    </row>
    <row r="2065" spans="1:6">
      <c r="A2065" s="149" t="s">
        <v>2962</v>
      </c>
      <c r="B2065" s="144" t="s">
        <v>2121</v>
      </c>
      <c r="C2065" s="44">
        <v>14229</v>
      </c>
      <c r="D2065" s="153">
        <f t="shared" si="32"/>
        <v>0.88931250000000006</v>
      </c>
      <c r="E2065" s="43">
        <v>25350.342521171584</v>
      </c>
      <c r="F2065" s="140">
        <v>4.9502748813059725</v>
      </c>
    </row>
    <row r="2066" spans="1:6">
      <c r="A2066" s="149" t="s">
        <v>2962</v>
      </c>
      <c r="B2066" s="144" t="s">
        <v>2122</v>
      </c>
      <c r="C2066" s="44">
        <v>14229</v>
      </c>
      <c r="D2066" s="153">
        <f t="shared" si="32"/>
        <v>0.88931250000000006</v>
      </c>
      <c r="E2066" s="43">
        <v>25350.342521171584</v>
      </c>
      <c r="F2066" s="140">
        <v>4.9502748813059725</v>
      </c>
    </row>
    <row r="2067" spans="1:6">
      <c r="A2067" s="149" t="s">
        <v>2962</v>
      </c>
      <c r="B2067" s="144" t="s">
        <v>2123</v>
      </c>
      <c r="C2067" s="44">
        <v>14229</v>
      </c>
      <c r="D2067" s="153">
        <f t="shared" si="32"/>
        <v>0.88931250000000006</v>
      </c>
      <c r="E2067" s="43">
        <v>25350.342521171584</v>
      </c>
      <c r="F2067" s="140">
        <v>4.9502748813059725</v>
      </c>
    </row>
    <row r="2068" spans="1:6">
      <c r="A2068" s="149" t="s">
        <v>2962</v>
      </c>
      <c r="B2068" s="144" t="s">
        <v>2124</v>
      </c>
      <c r="C2068" s="44">
        <v>14229</v>
      </c>
      <c r="D2068" s="153">
        <f t="shared" si="32"/>
        <v>0.88931250000000006</v>
      </c>
      <c r="E2068" s="43">
        <v>25350.342521171584</v>
      </c>
      <c r="F2068" s="140">
        <v>4.9502748813059725</v>
      </c>
    </row>
    <row r="2069" spans="1:6">
      <c r="A2069" s="149" t="s">
        <v>2962</v>
      </c>
      <c r="B2069" s="144" t="s">
        <v>2125</v>
      </c>
      <c r="C2069" s="44">
        <v>14229</v>
      </c>
      <c r="D2069" s="153">
        <f t="shared" si="32"/>
        <v>0.88931250000000006</v>
      </c>
      <c r="E2069" s="43">
        <v>25350.342521171584</v>
      </c>
      <c r="F2069" s="140">
        <v>4.9502748813059725</v>
      </c>
    </row>
    <row r="2070" spans="1:6">
      <c r="A2070" s="149" t="s">
        <v>2962</v>
      </c>
      <c r="B2070" s="144" t="s">
        <v>2126</v>
      </c>
      <c r="C2070" s="44">
        <v>14229</v>
      </c>
      <c r="D2070" s="153">
        <f t="shared" si="32"/>
        <v>0.88931250000000006</v>
      </c>
      <c r="E2070" s="43">
        <v>25350.342521171584</v>
      </c>
      <c r="F2070" s="140">
        <v>4.9502748813059725</v>
      </c>
    </row>
    <row r="2071" spans="1:6">
      <c r="A2071" s="149" t="s">
        <v>2962</v>
      </c>
      <c r="B2071" s="144" t="s">
        <v>2127</v>
      </c>
      <c r="C2071" s="44">
        <v>14229</v>
      </c>
      <c r="D2071" s="153">
        <f t="shared" si="32"/>
        <v>0.88931250000000006</v>
      </c>
      <c r="E2071" s="43">
        <v>25350.342521171584</v>
      </c>
      <c r="F2071" s="140">
        <v>4.9502748813059725</v>
      </c>
    </row>
    <row r="2072" spans="1:6">
      <c r="A2072" s="149" t="s">
        <v>2962</v>
      </c>
      <c r="B2072" s="144" t="s">
        <v>2128</v>
      </c>
      <c r="C2072" s="44">
        <v>14228</v>
      </c>
      <c r="D2072" s="153">
        <f t="shared" si="32"/>
        <v>0.88924999999999998</v>
      </c>
      <c r="E2072" s="43">
        <v>25348.435814455232</v>
      </c>
      <c r="F2072" s="140">
        <v>4.9517956316394702</v>
      </c>
    </row>
    <row r="2073" spans="1:6">
      <c r="A2073" s="149" t="s">
        <v>2962</v>
      </c>
      <c r="B2073" s="144" t="s">
        <v>2129</v>
      </c>
      <c r="C2073" s="44">
        <v>14228</v>
      </c>
      <c r="D2073" s="153">
        <f t="shared" si="32"/>
        <v>0.88924999999999998</v>
      </c>
      <c r="E2073" s="43">
        <v>25348.435814455232</v>
      </c>
      <c r="F2073" s="140">
        <v>4.9517956316394702</v>
      </c>
    </row>
    <row r="2074" spans="1:6">
      <c r="A2074" s="149" t="s">
        <v>2962</v>
      </c>
      <c r="B2074" s="144" t="s">
        <v>2130</v>
      </c>
      <c r="C2074" s="44">
        <v>14228</v>
      </c>
      <c r="D2074" s="153">
        <f t="shared" si="32"/>
        <v>0.88924999999999998</v>
      </c>
      <c r="E2074" s="43">
        <v>25348.435814455232</v>
      </c>
      <c r="F2074" s="140">
        <v>4.9517956316394702</v>
      </c>
    </row>
    <row r="2075" spans="1:6">
      <c r="A2075" s="149" t="s">
        <v>2962</v>
      </c>
      <c r="B2075" s="144" t="s">
        <v>2131</v>
      </c>
      <c r="C2075" s="44">
        <v>14228</v>
      </c>
      <c r="D2075" s="153">
        <f t="shared" si="32"/>
        <v>0.88924999999999998</v>
      </c>
      <c r="E2075" s="43">
        <v>25348.435814455232</v>
      </c>
      <c r="F2075" s="140">
        <v>4.9517956316394702</v>
      </c>
    </row>
    <row r="2076" spans="1:6">
      <c r="A2076" s="149" t="s">
        <v>2962</v>
      </c>
      <c r="B2076" s="144" t="s">
        <v>2132</v>
      </c>
      <c r="C2076" s="44">
        <v>14228</v>
      </c>
      <c r="D2076" s="153">
        <f t="shared" si="32"/>
        <v>0.88924999999999998</v>
      </c>
      <c r="E2076" s="43">
        <v>25348.435814455232</v>
      </c>
      <c r="F2076" s="140">
        <v>4.9517956316394702</v>
      </c>
    </row>
    <row r="2077" spans="1:6">
      <c r="A2077" s="149" t="s">
        <v>2962</v>
      </c>
      <c r="B2077" s="144" t="s">
        <v>2133</v>
      </c>
      <c r="C2077" s="44">
        <v>14228</v>
      </c>
      <c r="D2077" s="153">
        <f t="shared" si="32"/>
        <v>0.88924999999999998</v>
      </c>
      <c r="E2077" s="43">
        <v>25348.435814455232</v>
      </c>
      <c r="F2077" s="140">
        <v>4.9517956316394702</v>
      </c>
    </row>
    <row r="2078" spans="1:6">
      <c r="A2078" s="149" t="s">
        <v>2962</v>
      </c>
      <c r="B2078" s="144" t="s">
        <v>2134</v>
      </c>
      <c r="C2078" s="44">
        <v>14228</v>
      </c>
      <c r="D2078" s="153">
        <f t="shared" si="32"/>
        <v>0.88924999999999998</v>
      </c>
      <c r="E2078" s="43">
        <v>25348.435814455232</v>
      </c>
      <c r="F2078" s="140">
        <v>4.9517956316394702</v>
      </c>
    </row>
    <row r="2079" spans="1:6">
      <c r="A2079" s="149" t="s">
        <v>2962</v>
      </c>
      <c r="B2079" s="144" t="s">
        <v>2135</v>
      </c>
      <c r="C2079" s="44">
        <v>14228</v>
      </c>
      <c r="D2079" s="153">
        <f t="shared" si="32"/>
        <v>0.88924999999999998</v>
      </c>
      <c r="E2079" s="43">
        <v>25348.435814455232</v>
      </c>
      <c r="F2079" s="140">
        <v>4.9517956316394702</v>
      </c>
    </row>
    <row r="2080" spans="1:6">
      <c r="A2080" s="149" t="s">
        <v>2962</v>
      </c>
      <c r="B2080" s="144" t="s">
        <v>2136</v>
      </c>
      <c r="C2080" s="44">
        <v>14228</v>
      </c>
      <c r="D2080" s="153">
        <f t="shared" si="32"/>
        <v>0.88924999999999998</v>
      </c>
      <c r="E2080" s="43">
        <v>25348.435814455232</v>
      </c>
      <c r="F2080" s="140">
        <v>4.9517956316394702</v>
      </c>
    </row>
    <row r="2081" spans="1:6">
      <c r="A2081" s="149" t="s">
        <v>2962</v>
      </c>
      <c r="B2081" s="144" t="s">
        <v>2137</v>
      </c>
      <c r="C2081" s="44">
        <v>14228</v>
      </c>
      <c r="D2081" s="153">
        <f t="shared" si="32"/>
        <v>0.88924999999999998</v>
      </c>
      <c r="E2081" s="43">
        <v>25348.435814455232</v>
      </c>
      <c r="F2081" s="140">
        <v>4.9517956316394702</v>
      </c>
    </row>
    <row r="2082" spans="1:6">
      <c r="A2082" s="149" t="s">
        <v>2962</v>
      </c>
      <c r="B2082" s="144" t="s">
        <v>2138</v>
      </c>
      <c r="C2082" s="44">
        <v>14228</v>
      </c>
      <c r="D2082" s="153">
        <f t="shared" si="32"/>
        <v>0.88924999999999998</v>
      </c>
      <c r="E2082" s="43">
        <v>25348.435814455232</v>
      </c>
      <c r="F2082" s="140">
        <v>4.9517956316394702</v>
      </c>
    </row>
    <row r="2083" spans="1:6">
      <c r="A2083" s="149" t="s">
        <v>2962</v>
      </c>
      <c r="B2083" s="144" t="s">
        <v>2139</v>
      </c>
      <c r="C2083" s="44">
        <v>14228</v>
      </c>
      <c r="D2083" s="153">
        <f t="shared" si="32"/>
        <v>0.88924999999999998</v>
      </c>
      <c r="E2083" s="43">
        <v>25348.435814455232</v>
      </c>
      <c r="F2083" s="140">
        <v>4.9517956316394702</v>
      </c>
    </row>
    <row r="2084" spans="1:6">
      <c r="A2084" s="149" t="s">
        <v>2962</v>
      </c>
      <c r="B2084" s="144" t="s">
        <v>2140</v>
      </c>
      <c r="C2084" s="44">
        <v>14228</v>
      </c>
      <c r="D2084" s="153">
        <f t="shared" si="32"/>
        <v>0.88924999999999998</v>
      </c>
      <c r="E2084" s="43">
        <v>25348.435814455232</v>
      </c>
      <c r="F2084" s="140">
        <v>4.9517956316394702</v>
      </c>
    </row>
    <row r="2085" spans="1:6">
      <c r="A2085" s="149" t="s">
        <v>2962</v>
      </c>
      <c r="B2085" s="144" t="s">
        <v>2141</v>
      </c>
      <c r="C2085" s="44">
        <v>14227</v>
      </c>
      <c r="D2085" s="153">
        <f t="shared" si="32"/>
        <v>0.88918750000000002</v>
      </c>
      <c r="E2085" s="43">
        <v>25346.529313413517</v>
      </c>
      <c r="F2085" s="140">
        <v>4.9533163466468864</v>
      </c>
    </row>
    <row r="2086" spans="1:6">
      <c r="A2086" s="149" t="s">
        <v>2962</v>
      </c>
      <c r="B2086" s="144" t="s">
        <v>2142</v>
      </c>
      <c r="C2086" s="44">
        <v>14228</v>
      </c>
      <c r="D2086" s="153">
        <f t="shared" si="32"/>
        <v>0.88924999999999998</v>
      </c>
      <c r="E2086" s="43">
        <v>25348.435814455232</v>
      </c>
      <c r="F2086" s="140">
        <v>4.9517956316394702</v>
      </c>
    </row>
    <row r="2087" spans="1:6">
      <c r="A2087" s="149" t="s">
        <v>2962</v>
      </c>
      <c r="B2087" s="144" t="s">
        <v>2143</v>
      </c>
      <c r="C2087" s="44">
        <v>14227</v>
      </c>
      <c r="D2087" s="153">
        <f t="shared" si="32"/>
        <v>0.88918750000000002</v>
      </c>
      <c r="E2087" s="43">
        <v>25346.529313413517</v>
      </c>
      <c r="F2087" s="140">
        <v>4.9533163466468864</v>
      </c>
    </row>
    <row r="2088" spans="1:6">
      <c r="A2088" s="149" t="s">
        <v>2962</v>
      </c>
      <c r="B2088" s="144" t="s">
        <v>2144</v>
      </c>
      <c r="C2088" s="44">
        <v>14227</v>
      </c>
      <c r="D2088" s="153">
        <f t="shared" si="32"/>
        <v>0.88918750000000002</v>
      </c>
      <c r="E2088" s="43">
        <v>25346.529313413517</v>
      </c>
      <c r="F2088" s="140">
        <v>4.9533163466468864</v>
      </c>
    </row>
    <row r="2089" spans="1:6">
      <c r="A2089" s="149" t="s">
        <v>2962</v>
      </c>
      <c r="B2089" s="144" t="s">
        <v>2145</v>
      </c>
      <c r="C2089" s="44">
        <v>14227</v>
      </c>
      <c r="D2089" s="153">
        <f t="shared" si="32"/>
        <v>0.88918750000000002</v>
      </c>
      <c r="E2089" s="43">
        <v>25346.529313413517</v>
      </c>
      <c r="F2089" s="140">
        <v>4.9533163466468864</v>
      </c>
    </row>
    <row r="2090" spans="1:6">
      <c r="A2090" s="149" t="s">
        <v>2962</v>
      </c>
      <c r="B2090" s="144" t="s">
        <v>2146</v>
      </c>
      <c r="C2090" s="44">
        <v>14227</v>
      </c>
      <c r="D2090" s="153">
        <f t="shared" si="32"/>
        <v>0.88918750000000002</v>
      </c>
      <c r="E2090" s="43">
        <v>25346.529313413517</v>
      </c>
      <c r="F2090" s="140">
        <v>4.9533163466468864</v>
      </c>
    </row>
    <row r="2091" spans="1:6">
      <c r="A2091" s="149" t="s">
        <v>2962</v>
      </c>
      <c r="B2091" s="144" t="s">
        <v>2147</v>
      </c>
      <c r="C2091" s="44">
        <v>14227</v>
      </c>
      <c r="D2091" s="153">
        <f t="shared" si="32"/>
        <v>0.88918750000000002</v>
      </c>
      <c r="E2091" s="43">
        <v>25346.529313413517</v>
      </c>
      <c r="F2091" s="140">
        <v>4.9533163466468864</v>
      </c>
    </row>
    <row r="2092" spans="1:6">
      <c r="A2092" s="149" t="s">
        <v>2962</v>
      </c>
      <c r="B2092" s="144" t="s">
        <v>2148</v>
      </c>
      <c r="C2092" s="44">
        <v>14227</v>
      </c>
      <c r="D2092" s="153">
        <f t="shared" si="32"/>
        <v>0.88918750000000002</v>
      </c>
      <c r="E2092" s="43">
        <v>25346.529313413517</v>
      </c>
      <c r="F2092" s="140">
        <v>4.9533163466468864</v>
      </c>
    </row>
    <row r="2093" spans="1:6">
      <c r="A2093" s="149" t="s">
        <v>2962</v>
      </c>
      <c r="B2093" s="144" t="s">
        <v>2149</v>
      </c>
      <c r="C2093" s="44">
        <v>14227</v>
      </c>
      <c r="D2093" s="153">
        <f t="shared" si="32"/>
        <v>0.88918750000000002</v>
      </c>
      <c r="E2093" s="43">
        <v>25346.529313413517</v>
      </c>
      <c r="F2093" s="140">
        <v>4.9533163466468864</v>
      </c>
    </row>
    <row r="2094" spans="1:6">
      <c r="A2094" s="149" t="s">
        <v>2962</v>
      </c>
      <c r="B2094" s="144" t="s">
        <v>2150</v>
      </c>
      <c r="C2094" s="44">
        <v>14227</v>
      </c>
      <c r="D2094" s="153">
        <f t="shared" si="32"/>
        <v>0.88918750000000002</v>
      </c>
      <c r="E2094" s="43">
        <v>25346.529313413517</v>
      </c>
      <c r="F2094" s="140">
        <v>4.9533163466468864</v>
      </c>
    </row>
    <row r="2095" spans="1:6">
      <c r="A2095" s="149" t="s">
        <v>2962</v>
      </c>
      <c r="B2095" s="144" t="s">
        <v>2151</v>
      </c>
      <c r="C2095" s="44">
        <v>14227</v>
      </c>
      <c r="D2095" s="153">
        <f t="shared" si="32"/>
        <v>0.88918750000000002</v>
      </c>
      <c r="E2095" s="43">
        <v>25346.529313413517</v>
      </c>
      <c r="F2095" s="140">
        <v>4.9533163466468864</v>
      </c>
    </row>
    <row r="2096" spans="1:6">
      <c r="A2096" s="149" t="s">
        <v>2962</v>
      </c>
      <c r="B2096" s="144" t="s">
        <v>2152</v>
      </c>
      <c r="C2096" s="44">
        <v>14227</v>
      </c>
      <c r="D2096" s="153">
        <f t="shared" si="32"/>
        <v>0.88918750000000002</v>
      </c>
      <c r="E2096" s="43">
        <v>25346.529313413517</v>
      </c>
      <c r="F2096" s="140">
        <v>4.9533163466468864</v>
      </c>
    </row>
    <row r="2097" spans="1:6">
      <c r="A2097" s="149" t="s">
        <v>2962</v>
      </c>
      <c r="B2097" s="144" t="s">
        <v>2153</v>
      </c>
      <c r="C2097" s="44">
        <v>14227</v>
      </c>
      <c r="D2097" s="153">
        <f t="shared" si="32"/>
        <v>0.88918750000000002</v>
      </c>
      <c r="E2097" s="43">
        <v>25346.529313413517</v>
      </c>
      <c r="F2097" s="140">
        <v>4.9533163466468864</v>
      </c>
    </row>
    <row r="2098" spans="1:6">
      <c r="A2098" s="149" t="s">
        <v>2962</v>
      </c>
      <c r="B2098" s="144" t="s">
        <v>2154</v>
      </c>
      <c r="C2098" s="44">
        <v>14227</v>
      </c>
      <c r="D2098" s="153">
        <f t="shared" si="32"/>
        <v>0.88918750000000002</v>
      </c>
      <c r="E2098" s="43">
        <v>25346.529313413517</v>
      </c>
      <c r="F2098" s="140">
        <v>4.9533163466468864</v>
      </c>
    </row>
    <row r="2099" spans="1:6">
      <c r="A2099" s="149" t="s">
        <v>2962</v>
      </c>
      <c r="B2099" s="144" t="s">
        <v>2155</v>
      </c>
      <c r="C2099" s="44">
        <v>14227</v>
      </c>
      <c r="D2099" s="153">
        <f t="shared" si="32"/>
        <v>0.88918750000000002</v>
      </c>
      <c r="E2099" s="43">
        <v>25346.529313413517</v>
      </c>
      <c r="F2099" s="140">
        <v>4.9533163466468864</v>
      </c>
    </row>
    <row r="2100" spans="1:6">
      <c r="A2100" s="149" t="s">
        <v>2962</v>
      </c>
      <c r="B2100" s="144" t="s">
        <v>2156</v>
      </c>
      <c r="C2100" s="44">
        <v>14227</v>
      </c>
      <c r="D2100" s="153">
        <f t="shared" si="32"/>
        <v>0.88918750000000002</v>
      </c>
      <c r="E2100" s="43">
        <v>25346.529313413517</v>
      </c>
      <c r="F2100" s="140">
        <v>4.9533163466468864</v>
      </c>
    </row>
    <row r="2101" spans="1:6">
      <c r="A2101" s="149" t="s">
        <v>2962</v>
      </c>
      <c r="B2101" s="144" t="s">
        <v>2157</v>
      </c>
      <c r="C2101" s="44">
        <v>14227</v>
      </c>
      <c r="D2101" s="153">
        <f t="shared" si="32"/>
        <v>0.88918750000000002</v>
      </c>
      <c r="E2101" s="43">
        <v>25346.529313413517</v>
      </c>
      <c r="F2101" s="140">
        <v>4.9533163466468864</v>
      </c>
    </row>
    <row r="2102" spans="1:6">
      <c r="A2102" s="149" t="s">
        <v>2962</v>
      </c>
      <c r="B2102" s="144" t="s">
        <v>2158</v>
      </c>
      <c r="C2102" s="44">
        <v>14227</v>
      </c>
      <c r="D2102" s="153">
        <f t="shared" si="32"/>
        <v>0.88918750000000002</v>
      </c>
      <c r="E2102" s="43">
        <v>25346.529313413517</v>
      </c>
      <c r="F2102" s="140">
        <v>4.9533163466468864</v>
      </c>
    </row>
    <row r="2103" spans="1:6">
      <c r="A2103" s="149" t="s">
        <v>2962</v>
      </c>
      <c r="B2103" s="144" t="s">
        <v>2159</v>
      </c>
      <c r="C2103" s="44">
        <v>14227</v>
      </c>
      <c r="D2103" s="153">
        <f t="shared" si="32"/>
        <v>0.88918750000000002</v>
      </c>
      <c r="E2103" s="43">
        <v>25346.529313413517</v>
      </c>
      <c r="F2103" s="140">
        <v>4.9533163466468864</v>
      </c>
    </row>
    <row r="2104" spans="1:6">
      <c r="A2104" s="149" t="s">
        <v>2962</v>
      </c>
      <c r="B2104" s="144" t="s">
        <v>2160</v>
      </c>
      <c r="C2104" s="44">
        <v>14227</v>
      </c>
      <c r="D2104" s="153">
        <f t="shared" si="32"/>
        <v>0.88918750000000002</v>
      </c>
      <c r="E2104" s="43">
        <v>25346.529313413517</v>
      </c>
      <c r="F2104" s="140">
        <v>4.9533163466468864</v>
      </c>
    </row>
    <row r="2105" spans="1:6">
      <c r="A2105" s="149" t="s">
        <v>2962</v>
      </c>
      <c r="B2105" s="144" t="s">
        <v>2161</v>
      </c>
      <c r="C2105" s="44">
        <v>14227</v>
      </c>
      <c r="D2105" s="153">
        <f t="shared" si="32"/>
        <v>0.88918750000000002</v>
      </c>
      <c r="E2105" s="43">
        <v>25346.529313413517</v>
      </c>
      <c r="F2105" s="140">
        <v>4.9533163466468864</v>
      </c>
    </row>
    <row r="2106" spans="1:6">
      <c r="A2106" s="149" t="s">
        <v>2962</v>
      </c>
      <c r="B2106" s="144" t="s">
        <v>2162</v>
      </c>
      <c r="C2106" s="44">
        <v>14227</v>
      </c>
      <c r="D2106" s="153">
        <f t="shared" si="32"/>
        <v>0.88918750000000002</v>
      </c>
      <c r="E2106" s="43">
        <v>25346.529313413517</v>
      </c>
      <c r="F2106" s="140">
        <v>4.9533163466468864</v>
      </c>
    </row>
    <row r="2107" spans="1:6">
      <c r="A2107" s="149" t="s">
        <v>2962</v>
      </c>
      <c r="B2107" s="144" t="s">
        <v>2163</v>
      </c>
      <c r="C2107" s="44">
        <v>14227</v>
      </c>
      <c r="D2107" s="153">
        <f t="shared" si="32"/>
        <v>0.88918750000000002</v>
      </c>
      <c r="E2107" s="43">
        <v>25346.529313413517</v>
      </c>
      <c r="F2107" s="140">
        <v>4.9533163466468864</v>
      </c>
    </row>
    <row r="2108" spans="1:6">
      <c r="A2108" s="149" t="s">
        <v>2962</v>
      </c>
      <c r="B2108" s="144" t="s">
        <v>2164</v>
      </c>
      <c r="C2108" s="44">
        <v>14226</v>
      </c>
      <c r="D2108" s="153">
        <f t="shared" si="32"/>
        <v>0.88912500000000005</v>
      </c>
      <c r="E2108" s="43">
        <v>25344.623018013161</v>
      </c>
      <c r="F2108" s="140">
        <v>4.954837026333621</v>
      </c>
    </row>
    <row r="2109" spans="1:6">
      <c r="A2109" s="149" t="s">
        <v>2962</v>
      </c>
      <c r="B2109" s="144" t="s">
        <v>2165</v>
      </c>
      <c r="C2109" s="44">
        <v>14226</v>
      </c>
      <c r="D2109" s="153">
        <f t="shared" si="32"/>
        <v>0.88912500000000005</v>
      </c>
      <c r="E2109" s="43">
        <v>25344.623018013161</v>
      </c>
      <c r="F2109" s="140">
        <v>4.954837026333621</v>
      </c>
    </row>
    <row r="2110" spans="1:6">
      <c r="A2110" s="149" t="s">
        <v>2962</v>
      </c>
      <c r="B2110" s="144" t="s">
        <v>2166</v>
      </c>
      <c r="C2110" s="44">
        <v>14226</v>
      </c>
      <c r="D2110" s="153">
        <f t="shared" si="32"/>
        <v>0.88912500000000005</v>
      </c>
      <c r="E2110" s="43">
        <v>25344.623018013161</v>
      </c>
      <c r="F2110" s="140">
        <v>4.954837026333621</v>
      </c>
    </row>
    <row r="2111" spans="1:6">
      <c r="A2111" s="149" t="s">
        <v>2962</v>
      </c>
      <c r="B2111" s="144" t="s">
        <v>2167</v>
      </c>
      <c r="C2111" s="44">
        <v>14226</v>
      </c>
      <c r="D2111" s="153">
        <f t="shared" si="32"/>
        <v>0.88912500000000005</v>
      </c>
      <c r="E2111" s="43">
        <v>25344.623018013161</v>
      </c>
      <c r="F2111" s="140">
        <v>4.954837026333621</v>
      </c>
    </row>
    <row r="2112" spans="1:6">
      <c r="A2112" s="149" t="s">
        <v>2962</v>
      </c>
      <c r="B2112" s="144" t="s">
        <v>2168</v>
      </c>
      <c r="C2112" s="44">
        <v>14226</v>
      </c>
      <c r="D2112" s="153">
        <f t="shared" si="32"/>
        <v>0.88912500000000005</v>
      </c>
      <c r="E2112" s="43">
        <v>25344.623018013161</v>
      </c>
      <c r="F2112" s="140">
        <v>4.954837026333621</v>
      </c>
    </row>
    <row r="2113" spans="1:6">
      <c r="A2113" s="149" t="s">
        <v>2962</v>
      </c>
      <c r="B2113" s="144" t="s">
        <v>2169</v>
      </c>
      <c r="C2113" s="44">
        <v>14226</v>
      </c>
      <c r="D2113" s="153">
        <f t="shared" si="32"/>
        <v>0.88912500000000005</v>
      </c>
      <c r="E2113" s="43">
        <v>25344.623018013161</v>
      </c>
      <c r="F2113" s="140">
        <v>4.954837026333621</v>
      </c>
    </row>
    <row r="2114" spans="1:6">
      <c r="A2114" s="149" t="s">
        <v>2962</v>
      </c>
      <c r="B2114" s="144" t="s">
        <v>2170</v>
      </c>
      <c r="C2114" s="44">
        <v>14226</v>
      </c>
      <c r="D2114" s="153">
        <f t="shared" si="32"/>
        <v>0.88912500000000005</v>
      </c>
      <c r="E2114" s="43">
        <v>25344.623018013161</v>
      </c>
      <c r="F2114" s="140">
        <v>4.954837026333621</v>
      </c>
    </row>
    <row r="2115" spans="1:6">
      <c r="A2115" s="149" t="s">
        <v>2962</v>
      </c>
      <c r="B2115" s="144" t="s">
        <v>2171</v>
      </c>
      <c r="C2115" s="44">
        <v>14226</v>
      </c>
      <c r="D2115" s="153">
        <f t="shared" si="32"/>
        <v>0.88912500000000005</v>
      </c>
      <c r="E2115" s="43">
        <v>25344.623018013161</v>
      </c>
      <c r="F2115" s="140">
        <v>4.954837026333621</v>
      </c>
    </row>
    <row r="2116" spans="1:6">
      <c r="A2116" s="149" t="s">
        <v>2962</v>
      </c>
      <c r="B2116" s="144" t="s">
        <v>2172</v>
      </c>
      <c r="C2116" s="44">
        <v>14226</v>
      </c>
      <c r="D2116" s="153">
        <f t="shared" si="32"/>
        <v>0.88912500000000005</v>
      </c>
      <c r="E2116" s="43">
        <v>25344.623018013161</v>
      </c>
      <c r="F2116" s="140">
        <v>4.954837026333621</v>
      </c>
    </row>
    <row r="2117" spans="1:6">
      <c r="A2117" s="149" t="s">
        <v>2962</v>
      </c>
      <c r="B2117" s="144" t="s">
        <v>2173</v>
      </c>
      <c r="C2117" s="44">
        <v>14226</v>
      </c>
      <c r="D2117" s="153">
        <f t="shared" si="32"/>
        <v>0.88912500000000005</v>
      </c>
      <c r="E2117" s="43">
        <v>25344.623018013161</v>
      </c>
      <c r="F2117" s="140">
        <v>4.954837026333621</v>
      </c>
    </row>
    <row r="2118" spans="1:6">
      <c r="A2118" s="149" t="s">
        <v>2962</v>
      </c>
      <c r="B2118" s="144" t="s">
        <v>2174</v>
      </c>
      <c r="C2118" s="44">
        <v>14226</v>
      </c>
      <c r="D2118" s="153">
        <f t="shared" si="32"/>
        <v>0.88912500000000005</v>
      </c>
      <c r="E2118" s="43">
        <v>25344.623018013161</v>
      </c>
      <c r="F2118" s="140">
        <v>4.954837026333621</v>
      </c>
    </row>
    <row r="2119" spans="1:6">
      <c r="A2119" s="149" t="s">
        <v>2962</v>
      </c>
      <c r="B2119" s="144" t="s">
        <v>2175</v>
      </c>
      <c r="C2119" s="44">
        <v>14226</v>
      </c>
      <c r="D2119" s="153">
        <f t="shared" ref="D2119:D2182" si="33">C2119/32768*4.096/2</f>
        <v>0.88912500000000005</v>
      </c>
      <c r="E2119" s="43">
        <v>25344.623018013161</v>
      </c>
      <c r="F2119" s="140">
        <v>4.954837026333621</v>
      </c>
    </row>
    <row r="2120" spans="1:6">
      <c r="A2120" s="149" t="s">
        <v>2962</v>
      </c>
      <c r="B2120" s="144" t="s">
        <v>2176</v>
      </c>
      <c r="C2120" s="44">
        <v>14226</v>
      </c>
      <c r="D2120" s="153">
        <f t="shared" si="33"/>
        <v>0.88912500000000005</v>
      </c>
      <c r="E2120" s="43">
        <v>25344.623018013161</v>
      </c>
      <c r="F2120" s="140">
        <v>4.954837026333621</v>
      </c>
    </row>
    <row r="2121" spans="1:6">
      <c r="A2121" s="149" t="s">
        <v>2962</v>
      </c>
      <c r="B2121" s="144" t="s">
        <v>2177</v>
      </c>
      <c r="C2121" s="44">
        <v>14226</v>
      </c>
      <c r="D2121" s="153">
        <f t="shared" si="33"/>
        <v>0.88912500000000005</v>
      </c>
      <c r="E2121" s="43">
        <v>25344.623018013161</v>
      </c>
      <c r="F2121" s="140">
        <v>4.954837026333621</v>
      </c>
    </row>
    <row r="2122" spans="1:6">
      <c r="A2122" s="149" t="s">
        <v>2962</v>
      </c>
      <c r="B2122" s="144" t="s">
        <v>2178</v>
      </c>
      <c r="C2122" s="44">
        <v>14226</v>
      </c>
      <c r="D2122" s="153">
        <f t="shared" si="33"/>
        <v>0.88912500000000005</v>
      </c>
      <c r="E2122" s="43">
        <v>25344.623018013161</v>
      </c>
      <c r="F2122" s="140">
        <v>4.954837026333621</v>
      </c>
    </row>
    <row r="2123" spans="1:6">
      <c r="A2123" s="149" t="s">
        <v>2962</v>
      </c>
      <c r="B2123" s="144" t="s">
        <v>2179</v>
      </c>
      <c r="C2123" s="44">
        <v>14226</v>
      </c>
      <c r="D2123" s="153">
        <f t="shared" si="33"/>
        <v>0.88912500000000005</v>
      </c>
      <c r="E2123" s="43">
        <v>25344.623018013161</v>
      </c>
      <c r="F2123" s="140">
        <v>4.954837026333621</v>
      </c>
    </row>
    <row r="2124" spans="1:6">
      <c r="A2124" s="149" t="s">
        <v>2962</v>
      </c>
      <c r="B2124" s="144" t="s">
        <v>2180</v>
      </c>
      <c r="C2124" s="44">
        <v>14226</v>
      </c>
      <c r="D2124" s="153">
        <f t="shared" si="33"/>
        <v>0.88912500000000005</v>
      </c>
      <c r="E2124" s="43">
        <v>25344.623018013161</v>
      </c>
      <c r="F2124" s="140">
        <v>4.954837026333621</v>
      </c>
    </row>
    <row r="2125" spans="1:6">
      <c r="A2125" s="149" t="s">
        <v>2962</v>
      </c>
      <c r="B2125" s="144" t="s">
        <v>2181</v>
      </c>
      <c r="C2125" s="44">
        <v>14226</v>
      </c>
      <c r="D2125" s="153">
        <f t="shared" si="33"/>
        <v>0.88912500000000005</v>
      </c>
      <c r="E2125" s="43">
        <v>25344.623018013161</v>
      </c>
      <c r="F2125" s="140">
        <v>4.954837026333621</v>
      </c>
    </row>
    <row r="2126" spans="1:6">
      <c r="A2126" s="149" t="s">
        <v>2962</v>
      </c>
      <c r="B2126" s="144" t="s">
        <v>2182</v>
      </c>
      <c r="C2126" s="44">
        <v>14226</v>
      </c>
      <c r="D2126" s="153">
        <f t="shared" si="33"/>
        <v>0.88912500000000005</v>
      </c>
      <c r="E2126" s="43">
        <v>25344.623018013161</v>
      </c>
      <c r="F2126" s="140">
        <v>4.954837026333621</v>
      </c>
    </row>
    <row r="2127" spans="1:6">
      <c r="A2127" s="149" t="s">
        <v>2962</v>
      </c>
      <c r="B2127" s="144" t="s">
        <v>2183</v>
      </c>
      <c r="C2127" s="44">
        <v>14226</v>
      </c>
      <c r="D2127" s="153">
        <f t="shared" si="33"/>
        <v>0.88912500000000005</v>
      </c>
      <c r="E2127" s="43">
        <v>25344.623018013161</v>
      </c>
      <c r="F2127" s="140">
        <v>4.954837026333621</v>
      </c>
    </row>
    <row r="2128" spans="1:6">
      <c r="A2128" s="149" t="s">
        <v>2962</v>
      </c>
      <c r="B2128" s="144" t="s">
        <v>2184</v>
      </c>
      <c r="C2128" s="44">
        <v>14226</v>
      </c>
      <c r="D2128" s="153">
        <f t="shared" si="33"/>
        <v>0.88912500000000005</v>
      </c>
      <c r="E2128" s="43">
        <v>25344.623018013161</v>
      </c>
      <c r="F2128" s="140">
        <v>4.954837026333621</v>
      </c>
    </row>
    <row r="2129" spans="1:6">
      <c r="A2129" s="149" t="s">
        <v>2962</v>
      </c>
      <c r="B2129" s="144" t="s">
        <v>2185</v>
      </c>
      <c r="C2129" s="44">
        <v>14226</v>
      </c>
      <c r="D2129" s="153">
        <f t="shared" si="33"/>
        <v>0.88912500000000005</v>
      </c>
      <c r="E2129" s="43">
        <v>25344.623018013161</v>
      </c>
      <c r="F2129" s="140">
        <v>4.954837026333621</v>
      </c>
    </row>
    <row r="2130" spans="1:6">
      <c r="A2130" s="149" t="s">
        <v>2962</v>
      </c>
      <c r="B2130" s="144" t="s">
        <v>2186</v>
      </c>
      <c r="C2130" s="44">
        <v>14226</v>
      </c>
      <c r="D2130" s="153">
        <f t="shared" si="33"/>
        <v>0.88912500000000005</v>
      </c>
      <c r="E2130" s="43">
        <v>25344.623018013161</v>
      </c>
      <c r="F2130" s="140">
        <v>4.954837026333621</v>
      </c>
    </row>
    <row r="2131" spans="1:6">
      <c r="A2131" s="149" t="s">
        <v>2962</v>
      </c>
      <c r="B2131" s="144" t="s">
        <v>2187</v>
      </c>
      <c r="C2131" s="44">
        <v>14226</v>
      </c>
      <c r="D2131" s="153">
        <f t="shared" si="33"/>
        <v>0.88912500000000005</v>
      </c>
      <c r="E2131" s="43">
        <v>25344.623018013161</v>
      </c>
      <c r="F2131" s="140">
        <v>4.954837026333621</v>
      </c>
    </row>
    <row r="2132" spans="1:6">
      <c r="A2132" s="149" t="s">
        <v>2962</v>
      </c>
      <c r="B2132" s="144" t="s">
        <v>2188</v>
      </c>
      <c r="C2132" s="44">
        <v>14226</v>
      </c>
      <c r="D2132" s="153">
        <f t="shared" si="33"/>
        <v>0.88912500000000005</v>
      </c>
      <c r="E2132" s="43">
        <v>25344.623018013161</v>
      </c>
      <c r="F2132" s="140">
        <v>4.954837026333621</v>
      </c>
    </row>
    <row r="2133" spans="1:6">
      <c r="A2133" s="149" t="s">
        <v>2962</v>
      </c>
      <c r="B2133" s="144" t="s">
        <v>2189</v>
      </c>
      <c r="C2133" s="44">
        <v>14226</v>
      </c>
      <c r="D2133" s="153">
        <f t="shared" si="33"/>
        <v>0.88912500000000005</v>
      </c>
      <c r="E2133" s="43">
        <v>25344.623018013161</v>
      </c>
      <c r="F2133" s="140">
        <v>4.954837026333621</v>
      </c>
    </row>
    <row r="2134" spans="1:6">
      <c r="A2134" s="149" t="s">
        <v>2962</v>
      </c>
      <c r="B2134" s="144" t="s">
        <v>2190</v>
      </c>
      <c r="C2134" s="44">
        <v>14226</v>
      </c>
      <c r="D2134" s="153">
        <f t="shared" si="33"/>
        <v>0.88912500000000005</v>
      </c>
      <c r="E2134" s="43">
        <v>25344.623018013161</v>
      </c>
      <c r="F2134" s="140">
        <v>4.954837026333621</v>
      </c>
    </row>
    <row r="2135" spans="1:6">
      <c r="A2135" s="149" t="s">
        <v>2962</v>
      </c>
      <c r="B2135" s="144" t="s">
        <v>2191</v>
      </c>
      <c r="C2135" s="44">
        <v>14226</v>
      </c>
      <c r="D2135" s="153">
        <f t="shared" si="33"/>
        <v>0.88912500000000005</v>
      </c>
      <c r="E2135" s="43">
        <v>25344.623018013161</v>
      </c>
      <c r="F2135" s="140">
        <v>4.954837026333621</v>
      </c>
    </row>
    <row r="2136" spans="1:6">
      <c r="A2136" s="149" t="s">
        <v>2962</v>
      </c>
      <c r="B2136" s="144" t="s">
        <v>2192</v>
      </c>
      <c r="C2136" s="44">
        <v>14226</v>
      </c>
      <c r="D2136" s="153">
        <f t="shared" si="33"/>
        <v>0.88912500000000005</v>
      </c>
      <c r="E2136" s="43">
        <v>25344.623018013161</v>
      </c>
      <c r="F2136" s="140">
        <v>4.954837026333621</v>
      </c>
    </row>
    <row r="2137" spans="1:6">
      <c r="A2137" s="149" t="s">
        <v>2962</v>
      </c>
      <c r="B2137" s="144" t="s">
        <v>2193</v>
      </c>
      <c r="C2137" s="44">
        <v>14226</v>
      </c>
      <c r="D2137" s="153">
        <f t="shared" si="33"/>
        <v>0.88912500000000005</v>
      </c>
      <c r="E2137" s="43">
        <v>25344.623018013161</v>
      </c>
      <c r="F2137" s="140">
        <v>4.954837026333621</v>
      </c>
    </row>
    <row r="2138" spans="1:6">
      <c r="A2138" s="149" t="s">
        <v>2962</v>
      </c>
      <c r="B2138" s="144" t="s">
        <v>2194</v>
      </c>
      <c r="C2138" s="44">
        <v>14226</v>
      </c>
      <c r="D2138" s="153">
        <f t="shared" si="33"/>
        <v>0.88912500000000005</v>
      </c>
      <c r="E2138" s="43">
        <v>25344.623018013161</v>
      </c>
      <c r="F2138" s="140">
        <v>4.954837026333621</v>
      </c>
    </row>
    <row r="2139" spans="1:6">
      <c r="A2139" s="149" t="s">
        <v>2962</v>
      </c>
      <c r="B2139" s="144" t="s">
        <v>2195</v>
      </c>
      <c r="C2139" s="44">
        <v>14226</v>
      </c>
      <c r="D2139" s="153">
        <f t="shared" si="33"/>
        <v>0.88912500000000005</v>
      </c>
      <c r="E2139" s="43">
        <v>25344.623018013161</v>
      </c>
      <c r="F2139" s="140">
        <v>4.954837026333621</v>
      </c>
    </row>
    <row r="2140" spans="1:6">
      <c r="A2140" s="149" t="s">
        <v>2962</v>
      </c>
      <c r="B2140" s="144" t="s">
        <v>2196</v>
      </c>
      <c r="C2140" s="44">
        <v>14226</v>
      </c>
      <c r="D2140" s="153">
        <f t="shared" si="33"/>
        <v>0.88912500000000005</v>
      </c>
      <c r="E2140" s="43">
        <v>25344.623018013161</v>
      </c>
      <c r="F2140" s="140">
        <v>4.954837026333621</v>
      </c>
    </row>
    <row r="2141" spans="1:6">
      <c r="A2141" s="149" t="s">
        <v>2962</v>
      </c>
      <c r="B2141" s="144" t="s">
        <v>2197</v>
      </c>
      <c r="C2141" s="44">
        <v>14226</v>
      </c>
      <c r="D2141" s="153">
        <f t="shared" si="33"/>
        <v>0.88912500000000005</v>
      </c>
      <c r="E2141" s="43">
        <v>25344.623018013161</v>
      </c>
      <c r="F2141" s="140">
        <v>4.954837026333621</v>
      </c>
    </row>
    <row r="2142" spans="1:6">
      <c r="A2142" s="149" t="s">
        <v>2962</v>
      </c>
      <c r="B2142" s="144" t="s">
        <v>2198</v>
      </c>
      <c r="C2142" s="44">
        <v>14226</v>
      </c>
      <c r="D2142" s="153">
        <f t="shared" si="33"/>
        <v>0.88912500000000005</v>
      </c>
      <c r="E2142" s="43">
        <v>25344.623018013161</v>
      </c>
      <c r="F2142" s="140">
        <v>4.954837026333621</v>
      </c>
    </row>
    <row r="2143" spans="1:6">
      <c r="A2143" s="149" t="s">
        <v>2962</v>
      </c>
      <c r="B2143" s="144" t="s">
        <v>2199</v>
      </c>
      <c r="C2143" s="44">
        <v>14226</v>
      </c>
      <c r="D2143" s="153">
        <f t="shared" si="33"/>
        <v>0.88912500000000005</v>
      </c>
      <c r="E2143" s="43">
        <v>25344.623018013161</v>
      </c>
      <c r="F2143" s="140">
        <v>4.954837026333621</v>
      </c>
    </row>
    <row r="2144" spans="1:6">
      <c r="A2144" s="149" t="s">
        <v>2962</v>
      </c>
      <c r="B2144" s="144" t="s">
        <v>2200</v>
      </c>
      <c r="C2144" s="44">
        <v>14226</v>
      </c>
      <c r="D2144" s="153">
        <f t="shared" si="33"/>
        <v>0.88912500000000005</v>
      </c>
      <c r="E2144" s="43">
        <v>25344.623018013161</v>
      </c>
      <c r="F2144" s="140">
        <v>4.954837026333621</v>
      </c>
    </row>
    <row r="2145" spans="1:6">
      <c r="A2145" s="149" t="s">
        <v>2962</v>
      </c>
      <c r="B2145" s="144" t="s">
        <v>2201</v>
      </c>
      <c r="C2145" s="44">
        <v>14226</v>
      </c>
      <c r="D2145" s="153">
        <f t="shared" si="33"/>
        <v>0.88912500000000005</v>
      </c>
      <c r="E2145" s="43">
        <v>25344.623018013161</v>
      </c>
      <c r="F2145" s="140">
        <v>4.954837026333621</v>
      </c>
    </row>
    <row r="2146" spans="1:6">
      <c r="A2146" s="149" t="s">
        <v>2962</v>
      </c>
      <c r="B2146" s="144" t="s">
        <v>2202</v>
      </c>
      <c r="C2146" s="44">
        <v>14226</v>
      </c>
      <c r="D2146" s="153">
        <f t="shared" si="33"/>
        <v>0.88912500000000005</v>
      </c>
      <c r="E2146" s="43">
        <v>25344.623018013161</v>
      </c>
      <c r="F2146" s="140">
        <v>4.954837026333621</v>
      </c>
    </row>
    <row r="2147" spans="1:6">
      <c r="A2147" s="149" t="s">
        <v>2962</v>
      </c>
      <c r="B2147" s="144" t="s">
        <v>2203</v>
      </c>
      <c r="C2147" s="44">
        <v>14226</v>
      </c>
      <c r="D2147" s="153">
        <f t="shared" si="33"/>
        <v>0.88912500000000005</v>
      </c>
      <c r="E2147" s="43">
        <v>25344.623018013161</v>
      </c>
      <c r="F2147" s="140">
        <v>4.954837026333621</v>
      </c>
    </row>
    <row r="2148" spans="1:6">
      <c r="A2148" s="149" t="s">
        <v>2962</v>
      </c>
      <c r="B2148" s="144" t="s">
        <v>2204</v>
      </c>
      <c r="C2148" s="44">
        <v>14226</v>
      </c>
      <c r="D2148" s="153">
        <f t="shared" si="33"/>
        <v>0.88912500000000005</v>
      </c>
      <c r="E2148" s="43">
        <v>25344.623018013161</v>
      </c>
      <c r="F2148" s="140">
        <v>4.954837026333621</v>
      </c>
    </row>
    <row r="2149" spans="1:6">
      <c r="A2149" s="149" t="s">
        <v>2962</v>
      </c>
      <c r="B2149" s="144" t="s">
        <v>2205</v>
      </c>
      <c r="C2149" s="44">
        <v>14226</v>
      </c>
      <c r="D2149" s="153">
        <f t="shared" si="33"/>
        <v>0.88912500000000005</v>
      </c>
      <c r="E2149" s="43">
        <v>25344.623018013161</v>
      </c>
      <c r="F2149" s="140">
        <v>4.954837026333621</v>
      </c>
    </row>
    <row r="2150" spans="1:6">
      <c r="A2150" s="149" t="s">
        <v>2962</v>
      </c>
      <c r="B2150" s="144" t="s">
        <v>2206</v>
      </c>
      <c r="C2150" s="44">
        <v>14226</v>
      </c>
      <c r="D2150" s="153">
        <f t="shared" si="33"/>
        <v>0.88912500000000005</v>
      </c>
      <c r="E2150" s="43">
        <v>25344.623018013161</v>
      </c>
      <c r="F2150" s="140">
        <v>4.954837026333621</v>
      </c>
    </row>
    <row r="2151" spans="1:6">
      <c r="A2151" s="149" t="s">
        <v>2962</v>
      </c>
      <c r="B2151" s="144" t="s">
        <v>2207</v>
      </c>
      <c r="C2151" s="44">
        <v>14226</v>
      </c>
      <c r="D2151" s="153">
        <f t="shared" si="33"/>
        <v>0.88912500000000005</v>
      </c>
      <c r="E2151" s="43">
        <v>25344.623018013161</v>
      </c>
      <c r="F2151" s="140">
        <v>4.954837026333621</v>
      </c>
    </row>
    <row r="2152" spans="1:6">
      <c r="A2152" s="149" t="s">
        <v>2962</v>
      </c>
      <c r="B2152" s="144" t="s">
        <v>2208</v>
      </c>
      <c r="C2152" s="44">
        <v>14226</v>
      </c>
      <c r="D2152" s="153">
        <f t="shared" si="33"/>
        <v>0.88912500000000005</v>
      </c>
      <c r="E2152" s="43">
        <v>25344.623018013161</v>
      </c>
      <c r="F2152" s="140">
        <v>4.954837026333621</v>
      </c>
    </row>
    <row r="2153" spans="1:6">
      <c r="A2153" s="149" t="s">
        <v>2962</v>
      </c>
      <c r="B2153" s="144" t="s">
        <v>2209</v>
      </c>
      <c r="C2153" s="44">
        <v>14226</v>
      </c>
      <c r="D2153" s="153">
        <f t="shared" si="33"/>
        <v>0.88912500000000005</v>
      </c>
      <c r="E2153" s="43">
        <v>25344.623018013161</v>
      </c>
      <c r="F2153" s="140">
        <v>4.954837026333621</v>
      </c>
    </row>
    <row r="2154" spans="1:6">
      <c r="A2154" s="149" t="s">
        <v>2962</v>
      </c>
      <c r="B2154" s="144" t="s">
        <v>2210</v>
      </c>
      <c r="C2154" s="44">
        <v>14226</v>
      </c>
      <c r="D2154" s="153">
        <f t="shared" si="33"/>
        <v>0.88912500000000005</v>
      </c>
      <c r="E2154" s="43">
        <v>25344.623018013161</v>
      </c>
      <c r="F2154" s="140">
        <v>4.954837026333621</v>
      </c>
    </row>
    <row r="2155" spans="1:6">
      <c r="A2155" s="149" t="s">
        <v>2962</v>
      </c>
      <c r="B2155" s="144" t="s">
        <v>2211</v>
      </c>
      <c r="C2155" s="44">
        <v>14226</v>
      </c>
      <c r="D2155" s="153">
        <f t="shared" si="33"/>
        <v>0.88912500000000005</v>
      </c>
      <c r="E2155" s="43">
        <v>25344.623018013161</v>
      </c>
      <c r="F2155" s="140">
        <v>4.954837026333621</v>
      </c>
    </row>
    <row r="2156" spans="1:6">
      <c r="A2156" s="149" t="s">
        <v>2962</v>
      </c>
      <c r="B2156" s="144" t="s">
        <v>2212</v>
      </c>
      <c r="C2156" s="44">
        <v>14226</v>
      </c>
      <c r="D2156" s="153">
        <f t="shared" si="33"/>
        <v>0.88912500000000005</v>
      </c>
      <c r="E2156" s="43">
        <v>25344.623018013161</v>
      </c>
      <c r="F2156" s="140">
        <v>4.954837026333621</v>
      </c>
    </row>
    <row r="2157" spans="1:6">
      <c r="A2157" s="149" t="s">
        <v>2962</v>
      </c>
      <c r="B2157" s="144" t="s">
        <v>2213</v>
      </c>
      <c r="C2157" s="44">
        <v>14226</v>
      </c>
      <c r="D2157" s="153">
        <f t="shared" si="33"/>
        <v>0.88912500000000005</v>
      </c>
      <c r="E2157" s="43">
        <v>25344.623018013161</v>
      </c>
      <c r="F2157" s="140">
        <v>4.954837026333621</v>
      </c>
    </row>
    <row r="2158" spans="1:6">
      <c r="A2158" s="149" t="s">
        <v>2962</v>
      </c>
      <c r="B2158" s="144" t="s">
        <v>2214</v>
      </c>
      <c r="C2158" s="44">
        <v>14226</v>
      </c>
      <c r="D2158" s="153">
        <f t="shared" si="33"/>
        <v>0.88912500000000005</v>
      </c>
      <c r="E2158" s="43">
        <v>25344.623018013161</v>
      </c>
      <c r="F2158" s="140">
        <v>4.954837026333621</v>
      </c>
    </row>
    <row r="2159" spans="1:6">
      <c r="A2159" s="149" t="s">
        <v>2962</v>
      </c>
      <c r="B2159" s="144" t="s">
        <v>2215</v>
      </c>
      <c r="C2159" s="44">
        <v>14226</v>
      </c>
      <c r="D2159" s="153">
        <f t="shared" si="33"/>
        <v>0.88912500000000005</v>
      </c>
      <c r="E2159" s="43">
        <v>25344.623018013161</v>
      </c>
      <c r="F2159" s="140">
        <v>4.954837026333621</v>
      </c>
    </row>
    <row r="2160" spans="1:6">
      <c r="A2160" s="149" t="s">
        <v>2962</v>
      </c>
      <c r="B2160" s="144" t="s">
        <v>2216</v>
      </c>
      <c r="C2160" s="44">
        <v>14226</v>
      </c>
      <c r="D2160" s="153">
        <f t="shared" si="33"/>
        <v>0.88912500000000005</v>
      </c>
      <c r="E2160" s="43">
        <v>25344.623018013161</v>
      </c>
      <c r="F2160" s="140">
        <v>4.954837026333621</v>
      </c>
    </row>
    <row r="2161" spans="1:6">
      <c r="A2161" s="149" t="s">
        <v>2962</v>
      </c>
      <c r="B2161" s="144" t="s">
        <v>2217</v>
      </c>
      <c r="C2161" s="44">
        <v>14226</v>
      </c>
      <c r="D2161" s="153">
        <f t="shared" si="33"/>
        <v>0.88912500000000005</v>
      </c>
      <c r="E2161" s="43">
        <v>25344.623018013161</v>
      </c>
      <c r="F2161" s="140">
        <v>4.954837026333621</v>
      </c>
    </row>
    <row r="2162" spans="1:6">
      <c r="A2162" s="149" t="s">
        <v>2962</v>
      </c>
      <c r="B2162" s="144" t="s">
        <v>2218</v>
      </c>
      <c r="C2162" s="44">
        <v>14226</v>
      </c>
      <c r="D2162" s="153">
        <f t="shared" si="33"/>
        <v>0.88912500000000005</v>
      </c>
      <c r="E2162" s="43">
        <v>25344.623018013161</v>
      </c>
      <c r="F2162" s="140">
        <v>4.954837026333621</v>
      </c>
    </row>
    <row r="2163" spans="1:6">
      <c r="A2163" s="149" t="s">
        <v>2962</v>
      </c>
      <c r="B2163" s="144" t="s">
        <v>2219</v>
      </c>
      <c r="C2163" s="44">
        <v>14226</v>
      </c>
      <c r="D2163" s="153">
        <f t="shared" si="33"/>
        <v>0.88912500000000005</v>
      </c>
      <c r="E2163" s="43">
        <v>25344.623018013161</v>
      </c>
      <c r="F2163" s="140">
        <v>4.954837026333621</v>
      </c>
    </row>
    <row r="2164" spans="1:6">
      <c r="A2164" s="149" t="s">
        <v>2962</v>
      </c>
      <c r="B2164" s="144" t="s">
        <v>2220</v>
      </c>
      <c r="C2164" s="44">
        <v>14226</v>
      </c>
      <c r="D2164" s="153">
        <f t="shared" si="33"/>
        <v>0.88912500000000005</v>
      </c>
      <c r="E2164" s="43">
        <v>25344.623018013161</v>
      </c>
      <c r="F2164" s="140">
        <v>4.954837026333621</v>
      </c>
    </row>
    <row r="2165" spans="1:6">
      <c r="A2165" s="149" t="s">
        <v>2962</v>
      </c>
      <c r="B2165" s="144" t="s">
        <v>2221</v>
      </c>
      <c r="C2165" s="44">
        <v>14226</v>
      </c>
      <c r="D2165" s="153">
        <f t="shared" si="33"/>
        <v>0.88912500000000005</v>
      </c>
      <c r="E2165" s="43">
        <v>25344.623018013161</v>
      </c>
      <c r="F2165" s="140">
        <v>4.954837026333621</v>
      </c>
    </row>
    <row r="2166" spans="1:6">
      <c r="A2166" s="149" t="s">
        <v>2962</v>
      </c>
      <c r="B2166" s="144" t="s">
        <v>2222</v>
      </c>
      <c r="C2166" s="44">
        <v>14226</v>
      </c>
      <c r="D2166" s="153">
        <f t="shared" si="33"/>
        <v>0.88912500000000005</v>
      </c>
      <c r="E2166" s="43">
        <v>25344.623018013161</v>
      </c>
      <c r="F2166" s="140">
        <v>4.954837026333621</v>
      </c>
    </row>
    <row r="2167" spans="1:6">
      <c r="A2167" s="149" t="s">
        <v>2962</v>
      </c>
      <c r="B2167" s="144" t="s">
        <v>2223</v>
      </c>
      <c r="C2167" s="44">
        <v>14226</v>
      </c>
      <c r="D2167" s="153">
        <f t="shared" si="33"/>
        <v>0.88912500000000005</v>
      </c>
      <c r="E2167" s="43">
        <v>25344.623018013161</v>
      </c>
      <c r="F2167" s="140">
        <v>4.954837026333621</v>
      </c>
    </row>
    <row r="2168" spans="1:6">
      <c r="A2168" s="149" t="s">
        <v>2962</v>
      </c>
      <c r="B2168" s="144" t="s">
        <v>2224</v>
      </c>
      <c r="C2168" s="44">
        <v>14226</v>
      </c>
      <c r="D2168" s="153">
        <f t="shared" si="33"/>
        <v>0.88912500000000005</v>
      </c>
      <c r="E2168" s="43">
        <v>25344.623018013161</v>
      </c>
      <c r="F2168" s="140">
        <v>4.954837026333621</v>
      </c>
    </row>
    <row r="2169" spans="1:6">
      <c r="A2169" s="149" t="s">
        <v>2962</v>
      </c>
      <c r="B2169" s="144" t="s">
        <v>2225</v>
      </c>
      <c r="C2169" s="44">
        <v>14226</v>
      </c>
      <c r="D2169" s="153">
        <f t="shared" si="33"/>
        <v>0.88912500000000005</v>
      </c>
      <c r="E2169" s="43">
        <v>25344.623018013161</v>
      </c>
      <c r="F2169" s="140">
        <v>4.954837026333621</v>
      </c>
    </row>
    <row r="2170" spans="1:6">
      <c r="A2170" s="149" t="s">
        <v>2962</v>
      </c>
      <c r="B2170" s="144" t="s">
        <v>2226</v>
      </c>
      <c r="C2170" s="44">
        <v>14226</v>
      </c>
      <c r="D2170" s="153">
        <f t="shared" si="33"/>
        <v>0.88912500000000005</v>
      </c>
      <c r="E2170" s="43">
        <v>25344.623018013161</v>
      </c>
      <c r="F2170" s="140">
        <v>4.954837026333621</v>
      </c>
    </row>
    <row r="2171" spans="1:6">
      <c r="A2171" s="149" t="s">
        <v>2962</v>
      </c>
      <c r="B2171" s="144" t="s">
        <v>2227</v>
      </c>
      <c r="C2171" s="44">
        <v>14226</v>
      </c>
      <c r="D2171" s="153">
        <f t="shared" si="33"/>
        <v>0.88912500000000005</v>
      </c>
      <c r="E2171" s="43">
        <v>25344.623018013161</v>
      </c>
      <c r="F2171" s="140">
        <v>4.954837026333621</v>
      </c>
    </row>
    <row r="2172" spans="1:6">
      <c r="A2172" s="149" t="s">
        <v>2962</v>
      </c>
      <c r="B2172" s="144" t="s">
        <v>2228</v>
      </c>
      <c r="C2172" s="44">
        <v>14226</v>
      </c>
      <c r="D2172" s="153">
        <f t="shared" si="33"/>
        <v>0.88912500000000005</v>
      </c>
      <c r="E2172" s="43">
        <v>25344.623018013161</v>
      </c>
      <c r="F2172" s="140">
        <v>4.954837026333621</v>
      </c>
    </row>
    <row r="2173" spans="1:6">
      <c r="A2173" s="149" t="s">
        <v>2962</v>
      </c>
      <c r="B2173" s="144" t="s">
        <v>2229</v>
      </c>
      <c r="C2173" s="44">
        <v>14226</v>
      </c>
      <c r="D2173" s="153">
        <f t="shared" si="33"/>
        <v>0.88912500000000005</v>
      </c>
      <c r="E2173" s="43">
        <v>25344.623018013161</v>
      </c>
      <c r="F2173" s="140">
        <v>4.954837026333621</v>
      </c>
    </row>
    <row r="2174" spans="1:6">
      <c r="A2174" s="149" t="s">
        <v>2962</v>
      </c>
      <c r="B2174" s="144" t="s">
        <v>2230</v>
      </c>
      <c r="C2174" s="44">
        <v>14225</v>
      </c>
      <c r="D2174" s="153">
        <f t="shared" si="33"/>
        <v>0.88906249999999998</v>
      </c>
      <c r="E2174" s="43">
        <v>25342.716928220892</v>
      </c>
      <c r="F2174" s="140">
        <v>4.9563576707053585</v>
      </c>
    </row>
    <row r="2175" spans="1:6">
      <c r="A2175" s="149" t="s">
        <v>2962</v>
      </c>
      <c r="B2175" s="144" t="s">
        <v>2231</v>
      </c>
      <c r="C2175" s="44">
        <v>14226</v>
      </c>
      <c r="D2175" s="153">
        <f t="shared" si="33"/>
        <v>0.88912500000000005</v>
      </c>
      <c r="E2175" s="43">
        <v>25344.623018013161</v>
      </c>
      <c r="F2175" s="140">
        <v>4.954837026333621</v>
      </c>
    </row>
    <row r="2176" spans="1:6">
      <c r="A2176" s="149" t="s">
        <v>2962</v>
      </c>
      <c r="B2176" s="144" t="s">
        <v>2232</v>
      </c>
      <c r="C2176" s="44">
        <v>14225</v>
      </c>
      <c r="D2176" s="153">
        <f t="shared" si="33"/>
        <v>0.88906249999999998</v>
      </c>
      <c r="E2176" s="43">
        <v>25342.716928220892</v>
      </c>
      <c r="F2176" s="140">
        <v>4.9563576707053585</v>
      </c>
    </row>
    <row r="2177" spans="1:6">
      <c r="A2177" s="149" t="s">
        <v>2962</v>
      </c>
      <c r="B2177" s="144" t="s">
        <v>2233</v>
      </c>
      <c r="C2177" s="44">
        <v>14225</v>
      </c>
      <c r="D2177" s="153">
        <f t="shared" si="33"/>
        <v>0.88906249999999998</v>
      </c>
      <c r="E2177" s="43">
        <v>25342.716928220892</v>
      </c>
      <c r="F2177" s="140">
        <v>4.9563576707053585</v>
      </c>
    </row>
    <row r="2178" spans="1:6">
      <c r="A2178" s="149" t="s">
        <v>2962</v>
      </c>
      <c r="B2178" s="144" t="s">
        <v>2234</v>
      </c>
      <c r="C2178" s="44">
        <v>14225</v>
      </c>
      <c r="D2178" s="153">
        <f t="shared" si="33"/>
        <v>0.88906249999999998</v>
      </c>
      <c r="E2178" s="43">
        <v>25342.716928220892</v>
      </c>
      <c r="F2178" s="140">
        <v>4.9563576707053585</v>
      </c>
    </row>
    <row r="2179" spans="1:6">
      <c r="A2179" s="149" t="s">
        <v>2962</v>
      </c>
      <c r="B2179" s="144" t="s">
        <v>2235</v>
      </c>
      <c r="C2179" s="44">
        <v>14225</v>
      </c>
      <c r="D2179" s="153">
        <f t="shared" si="33"/>
        <v>0.88906249999999998</v>
      </c>
      <c r="E2179" s="43">
        <v>25342.716928220892</v>
      </c>
      <c r="F2179" s="140">
        <v>4.9563576707053585</v>
      </c>
    </row>
    <row r="2180" spans="1:6">
      <c r="A2180" s="149" t="s">
        <v>2962</v>
      </c>
      <c r="B2180" s="144" t="s">
        <v>2236</v>
      </c>
      <c r="C2180" s="44">
        <v>14225</v>
      </c>
      <c r="D2180" s="153">
        <f t="shared" si="33"/>
        <v>0.88906249999999998</v>
      </c>
      <c r="E2180" s="43">
        <v>25342.716928220892</v>
      </c>
      <c r="F2180" s="140">
        <v>4.9563576707053585</v>
      </c>
    </row>
    <row r="2181" spans="1:6">
      <c r="A2181" s="149" t="s">
        <v>2962</v>
      </c>
      <c r="B2181" s="144" t="s">
        <v>2237</v>
      </c>
      <c r="C2181" s="44">
        <v>14225</v>
      </c>
      <c r="D2181" s="153">
        <f t="shared" si="33"/>
        <v>0.88906249999999998</v>
      </c>
      <c r="E2181" s="43">
        <v>25342.716928220892</v>
      </c>
      <c r="F2181" s="140">
        <v>4.9563576707053585</v>
      </c>
    </row>
    <row r="2182" spans="1:6">
      <c r="A2182" s="149" t="s">
        <v>2962</v>
      </c>
      <c r="B2182" s="144" t="s">
        <v>2238</v>
      </c>
      <c r="C2182" s="44">
        <v>14225</v>
      </c>
      <c r="D2182" s="153">
        <f t="shared" si="33"/>
        <v>0.88906249999999998</v>
      </c>
      <c r="E2182" s="43">
        <v>25342.716928220892</v>
      </c>
      <c r="F2182" s="140">
        <v>4.9563576707053585</v>
      </c>
    </row>
    <row r="2183" spans="1:6">
      <c r="A2183" s="149" t="s">
        <v>2962</v>
      </c>
      <c r="B2183" s="144" t="s">
        <v>2239</v>
      </c>
      <c r="C2183" s="44">
        <v>14225</v>
      </c>
      <c r="D2183" s="153">
        <f t="shared" ref="D2183:D2246" si="34">C2183/32768*4.096/2</f>
        <v>0.88906249999999998</v>
      </c>
      <c r="E2183" s="43">
        <v>25342.716928220892</v>
      </c>
      <c r="F2183" s="140">
        <v>4.9563576707053585</v>
      </c>
    </row>
    <row r="2184" spans="1:6">
      <c r="A2184" s="149" t="s">
        <v>2962</v>
      </c>
      <c r="B2184" s="144" t="s">
        <v>2240</v>
      </c>
      <c r="C2184" s="44">
        <v>14225</v>
      </c>
      <c r="D2184" s="153">
        <f t="shared" si="34"/>
        <v>0.88906249999999998</v>
      </c>
      <c r="E2184" s="43">
        <v>25342.716928220892</v>
      </c>
      <c r="F2184" s="140">
        <v>4.9563576707053585</v>
      </c>
    </row>
    <row r="2185" spans="1:6">
      <c r="A2185" s="149" t="s">
        <v>2962</v>
      </c>
      <c r="B2185" s="144" t="s">
        <v>2241</v>
      </c>
      <c r="C2185" s="44">
        <v>14225</v>
      </c>
      <c r="D2185" s="153">
        <f t="shared" si="34"/>
        <v>0.88906249999999998</v>
      </c>
      <c r="E2185" s="43">
        <v>25342.716928220892</v>
      </c>
      <c r="F2185" s="140">
        <v>4.9563576707053585</v>
      </c>
    </row>
    <row r="2186" spans="1:6">
      <c r="A2186" s="149" t="s">
        <v>2962</v>
      </c>
      <c r="B2186" s="144" t="s">
        <v>2242</v>
      </c>
      <c r="C2186" s="44">
        <v>14225</v>
      </c>
      <c r="D2186" s="153">
        <f t="shared" si="34"/>
        <v>0.88906249999999998</v>
      </c>
      <c r="E2186" s="43">
        <v>25342.716928220892</v>
      </c>
      <c r="F2186" s="140">
        <v>4.9563576707053585</v>
      </c>
    </row>
    <row r="2187" spans="1:6">
      <c r="A2187" s="149" t="s">
        <v>2962</v>
      </c>
      <c r="B2187" s="144" t="s">
        <v>2243</v>
      </c>
      <c r="C2187" s="44">
        <v>14225</v>
      </c>
      <c r="D2187" s="153">
        <f t="shared" si="34"/>
        <v>0.88906249999999998</v>
      </c>
      <c r="E2187" s="43">
        <v>25342.716928220892</v>
      </c>
      <c r="F2187" s="140">
        <v>4.9563576707053585</v>
      </c>
    </row>
    <row r="2188" spans="1:6">
      <c r="A2188" s="149" t="s">
        <v>2962</v>
      </c>
      <c r="B2188" s="144" t="s">
        <v>2244</v>
      </c>
      <c r="C2188" s="44">
        <v>14225</v>
      </c>
      <c r="D2188" s="153">
        <f t="shared" si="34"/>
        <v>0.88906249999999998</v>
      </c>
      <c r="E2188" s="43">
        <v>25342.716928220892</v>
      </c>
      <c r="F2188" s="140">
        <v>4.9563576707053585</v>
      </c>
    </row>
    <row r="2189" spans="1:6">
      <c r="A2189" s="149" t="s">
        <v>2962</v>
      </c>
      <c r="B2189" s="144" t="s">
        <v>2245</v>
      </c>
      <c r="C2189" s="44">
        <v>14225</v>
      </c>
      <c r="D2189" s="153">
        <f t="shared" si="34"/>
        <v>0.88906249999999998</v>
      </c>
      <c r="E2189" s="43">
        <v>25342.716928220892</v>
      </c>
      <c r="F2189" s="140">
        <v>4.9563576707053585</v>
      </c>
    </row>
    <row r="2190" spans="1:6">
      <c r="A2190" s="149" t="s">
        <v>2962</v>
      </c>
      <c r="B2190" s="144" t="s">
        <v>2246</v>
      </c>
      <c r="C2190" s="44">
        <v>14225</v>
      </c>
      <c r="D2190" s="153">
        <f t="shared" si="34"/>
        <v>0.88906249999999998</v>
      </c>
      <c r="E2190" s="43">
        <v>25342.716928220892</v>
      </c>
      <c r="F2190" s="140">
        <v>4.9563576707053585</v>
      </c>
    </row>
    <row r="2191" spans="1:6">
      <c r="A2191" s="149" t="s">
        <v>2962</v>
      </c>
      <c r="B2191" s="144" t="s">
        <v>2247</v>
      </c>
      <c r="C2191" s="44">
        <v>14225</v>
      </c>
      <c r="D2191" s="153">
        <f t="shared" si="34"/>
        <v>0.88906249999999998</v>
      </c>
      <c r="E2191" s="43">
        <v>25342.716928220892</v>
      </c>
      <c r="F2191" s="140">
        <v>4.9563576707053585</v>
      </c>
    </row>
    <row r="2192" spans="1:6">
      <c r="A2192" s="149" t="s">
        <v>2962</v>
      </c>
      <c r="B2192" s="144" t="s">
        <v>2248</v>
      </c>
      <c r="C2192" s="44">
        <v>14225</v>
      </c>
      <c r="D2192" s="153">
        <f t="shared" si="34"/>
        <v>0.88906249999999998</v>
      </c>
      <c r="E2192" s="43">
        <v>25342.716928220892</v>
      </c>
      <c r="F2192" s="140">
        <v>4.9563576707053585</v>
      </c>
    </row>
    <row r="2193" spans="1:6">
      <c r="A2193" s="149" t="s">
        <v>2962</v>
      </c>
      <c r="B2193" s="144" t="s">
        <v>2249</v>
      </c>
      <c r="C2193" s="44">
        <v>14225</v>
      </c>
      <c r="D2193" s="153">
        <f t="shared" si="34"/>
        <v>0.88906249999999998</v>
      </c>
      <c r="E2193" s="43">
        <v>25342.716928220892</v>
      </c>
      <c r="F2193" s="140">
        <v>4.9563576707053585</v>
      </c>
    </row>
    <row r="2194" spans="1:6">
      <c r="A2194" s="149" t="s">
        <v>2962</v>
      </c>
      <c r="B2194" s="144" t="s">
        <v>2250</v>
      </c>
      <c r="C2194" s="44">
        <v>14225</v>
      </c>
      <c r="D2194" s="153">
        <f t="shared" si="34"/>
        <v>0.88906249999999998</v>
      </c>
      <c r="E2194" s="43">
        <v>25342.716928220892</v>
      </c>
      <c r="F2194" s="140">
        <v>4.9563576707053585</v>
      </c>
    </row>
    <row r="2195" spans="1:6">
      <c r="A2195" s="149" t="s">
        <v>2962</v>
      </c>
      <c r="B2195" s="144" t="s">
        <v>2251</v>
      </c>
      <c r="C2195" s="44">
        <v>14224</v>
      </c>
      <c r="D2195" s="153">
        <f t="shared" si="34"/>
        <v>0.88900000000000001</v>
      </c>
      <c r="E2195" s="43">
        <v>25340.811044003451</v>
      </c>
      <c r="F2195" s="140">
        <v>4.9578782797675558</v>
      </c>
    </row>
    <row r="2196" spans="1:6">
      <c r="A2196" s="149" t="s">
        <v>2962</v>
      </c>
      <c r="B2196" s="144" t="s">
        <v>2252</v>
      </c>
      <c r="C2196" s="44">
        <v>14222</v>
      </c>
      <c r="D2196" s="153">
        <f t="shared" si="34"/>
        <v>0.88887499999999997</v>
      </c>
      <c r="E2196" s="43">
        <v>25336.999892160035</v>
      </c>
      <c r="F2196" s="140">
        <v>4.9609193919854988</v>
      </c>
    </row>
    <row r="2197" spans="1:6">
      <c r="A2197" s="149" t="s">
        <v>2962</v>
      </c>
      <c r="B2197" s="144" t="s">
        <v>2253</v>
      </c>
      <c r="C2197" s="44">
        <v>14220</v>
      </c>
      <c r="D2197" s="153">
        <f t="shared" si="34"/>
        <v>0.88875000000000004</v>
      </c>
      <c r="E2197" s="43">
        <v>25333.18956221695</v>
      </c>
      <c r="F2197" s="140">
        <v>4.9639603630319016</v>
      </c>
    </row>
    <row r="2198" spans="1:6">
      <c r="A2198" s="149" t="s">
        <v>2962</v>
      </c>
      <c r="B2198" s="144" t="s">
        <v>2254</v>
      </c>
      <c r="C2198" s="44">
        <v>14216</v>
      </c>
      <c r="D2198" s="153">
        <f t="shared" si="34"/>
        <v>0.88850000000000007</v>
      </c>
      <c r="E2198" s="43">
        <v>25325.571366968521</v>
      </c>
      <c r="F2198" s="140">
        <v>4.9700418817872105</v>
      </c>
    </row>
    <row r="2199" spans="1:6">
      <c r="A2199" s="149" t="s">
        <v>2962</v>
      </c>
      <c r="B2199" s="144" t="s">
        <v>2255</v>
      </c>
      <c r="C2199" s="44">
        <v>14212</v>
      </c>
      <c r="D2199" s="153">
        <f t="shared" si="34"/>
        <v>0.88824999999999998</v>
      </c>
      <c r="E2199" s="43">
        <v>25317.956456132786</v>
      </c>
      <c r="F2199" s="140">
        <v>4.9761228363877876</v>
      </c>
    </row>
    <row r="2200" spans="1:6">
      <c r="A2200" s="149" t="s">
        <v>2962</v>
      </c>
      <c r="B2200" s="144" t="s">
        <v>2256</v>
      </c>
      <c r="C2200" s="44">
        <v>14206</v>
      </c>
      <c r="D2200" s="153">
        <f t="shared" si="34"/>
        <v>0.88787499999999997</v>
      </c>
      <c r="E2200" s="43">
        <v>25306.540243508243</v>
      </c>
      <c r="F2200" s="140">
        <v>4.9852432112732572</v>
      </c>
    </row>
    <row r="2201" spans="1:6">
      <c r="A2201" s="149" t="s">
        <v>2962</v>
      </c>
      <c r="B2201" s="144" t="s">
        <v>2257</v>
      </c>
      <c r="C2201" s="44">
        <v>14200</v>
      </c>
      <c r="D2201" s="153">
        <f t="shared" si="34"/>
        <v>0.88750000000000007</v>
      </c>
      <c r="E2201" s="43">
        <v>25295.131408875484</v>
      </c>
      <c r="F2201" s="140">
        <v>4.9943623188019615</v>
      </c>
    </row>
    <row r="2202" spans="1:6">
      <c r="A2202" s="149" t="s">
        <v>2962</v>
      </c>
      <c r="B2202" s="144" t="s">
        <v>2258</v>
      </c>
      <c r="C2202" s="44">
        <v>14193</v>
      </c>
      <c r="D2202" s="153">
        <f t="shared" si="34"/>
        <v>0.88706249999999998</v>
      </c>
      <c r="E2202" s="43">
        <v>25281.830417227455</v>
      </c>
      <c r="F2202" s="140">
        <v>5.0049996773798853</v>
      </c>
    </row>
    <row r="2203" spans="1:6">
      <c r="A2203" s="149" t="s">
        <v>2962</v>
      </c>
      <c r="B2203" s="144" t="s">
        <v>2259</v>
      </c>
      <c r="C2203" s="44">
        <v>14185</v>
      </c>
      <c r="D2203" s="153">
        <f t="shared" si="34"/>
        <v>0.88656250000000003</v>
      </c>
      <c r="E2203" s="43">
        <v>25266.641554108595</v>
      </c>
      <c r="F2203" s="140">
        <v>5.0171545507691349</v>
      </c>
    </row>
    <row r="2204" spans="1:6">
      <c r="A2204" s="149" t="s">
        <v>2962</v>
      </c>
      <c r="B2204" s="144" t="s">
        <v>2260</v>
      </c>
      <c r="C2204" s="44">
        <v>14175</v>
      </c>
      <c r="D2204" s="153">
        <f t="shared" si="34"/>
        <v>0.88593750000000004</v>
      </c>
      <c r="E2204" s="43">
        <v>25247.673855752164</v>
      </c>
      <c r="F2204" s="140">
        <v>5.0323449848783071</v>
      </c>
    </row>
    <row r="2205" spans="1:6">
      <c r="A2205" s="149" t="s">
        <v>2962</v>
      </c>
      <c r="B2205" s="144" t="s">
        <v>2261</v>
      </c>
      <c r="C2205" s="44">
        <v>14165</v>
      </c>
      <c r="D2205" s="153">
        <f t="shared" si="34"/>
        <v>0.88531250000000006</v>
      </c>
      <c r="E2205" s="43">
        <v>25228.726549481267</v>
      </c>
      <c r="F2205" s="140">
        <v>5.0475319156540195</v>
      </c>
    </row>
    <row r="2206" spans="1:6">
      <c r="A2206" s="149" t="s">
        <v>2962</v>
      </c>
      <c r="B2206" s="144" t="s">
        <v>2262</v>
      </c>
      <c r="C2206" s="44">
        <v>14154</v>
      </c>
      <c r="D2206" s="153">
        <f t="shared" si="34"/>
        <v>0.88462499999999999</v>
      </c>
      <c r="E2206" s="43">
        <v>25207.908026216825</v>
      </c>
      <c r="F2206" s="140">
        <v>5.064233499723457</v>
      </c>
    </row>
    <row r="2207" spans="1:6">
      <c r="A2207" s="149" t="s">
        <v>2962</v>
      </c>
      <c r="B2207" s="144" t="s">
        <v>2263</v>
      </c>
      <c r="C2207" s="44">
        <v>14143</v>
      </c>
      <c r="D2207" s="153">
        <f t="shared" si="34"/>
        <v>0.88393750000000004</v>
      </c>
      <c r="E2207" s="43">
        <v>25187.114093959732</v>
      </c>
      <c r="F2207" s="140">
        <v>5.080930858729289</v>
      </c>
    </row>
    <row r="2208" spans="1:6">
      <c r="A2208" s="149" t="s">
        <v>2962</v>
      </c>
      <c r="B2208" s="144" t="s">
        <v>2264</v>
      </c>
      <c r="C2208" s="44">
        <v>14130</v>
      </c>
      <c r="D2208" s="153">
        <f t="shared" si="34"/>
        <v>0.88312500000000005</v>
      </c>
      <c r="E2208" s="43">
        <v>25162.571091318812</v>
      </c>
      <c r="F2208" s="140">
        <v>5.1006586639854277</v>
      </c>
    </row>
    <row r="2209" spans="1:6">
      <c r="A2209" s="149" t="s">
        <v>2962</v>
      </c>
      <c r="B2209" s="144" t="s">
        <v>2265</v>
      </c>
      <c r="C2209" s="44">
        <v>14117</v>
      </c>
      <c r="D2209" s="153">
        <f t="shared" si="34"/>
        <v>0.88231250000000006</v>
      </c>
      <c r="E2209" s="43">
        <v>25138.062302289421</v>
      </c>
      <c r="F2209" s="140">
        <v>5.1203805903519992</v>
      </c>
    </row>
    <row r="2210" spans="1:6">
      <c r="A2210" s="149" t="s">
        <v>2962</v>
      </c>
      <c r="B2210" s="144" t="s">
        <v>2266</v>
      </c>
      <c r="C2210" s="44">
        <v>14103</v>
      </c>
      <c r="D2210" s="153">
        <f t="shared" si="34"/>
        <v>0.88143749999999998</v>
      </c>
      <c r="E2210" s="43">
        <v>25111.706402357355</v>
      </c>
      <c r="F2210" s="140">
        <v>5.1416130271404654</v>
      </c>
    </row>
    <row r="2211" spans="1:6">
      <c r="A2211" s="149" t="s">
        <v>2962</v>
      </c>
      <c r="B2211" s="144" t="s">
        <v>2267</v>
      </c>
      <c r="C2211" s="44">
        <v>14088</v>
      </c>
      <c r="D2211" s="153">
        <f t="shared" si="34"/>
        <v>0.88050000000000006</v>
      </c>
      <c r="E2211" s="43">
        <v>25083.511777301926</v>
      </c>
      <c r="F2211" s="140">
        <v>5.1643545330065308</v>
      </c>
    </row>
    <row r="2212" spans="1:6">
      <c r="A2212" s="149" t="s">
        <v>2962</v>
      </c>
      <c r="B2212" s="144" t="s">
        <v>2268</v>
      </c>
      <c r="C2212" s="44">
        <v>14073</v>
      </c>
      <c r="D2212" s="153">
        <f t="shared" si="34"/>
        <v>0.87956250000000002</v>
      </c>
      <c r="E2212" s="43">
        <v>25055.362396362663</v>
      </c>
      <c r="F2212" s="140">
        <v>5.1870882635223552</v>
      </c>
    </row>
    <row r="2213" spans="1:6">
      <c r="A2213" s="149" t="s">
        <v>2962</v>
      </c>
      <c r="B2213" s="144" t="s">
        <v>2269</v>
      </c>
      <c r="C2213" s="44">
        <v>14058</v>
      </c>
      <c r="D2213" s="153">
        <f t="shared" si="34"/>
        <v>0.87862499999999999</v>
      </c>
      <c r="E2213" s="43">
        <v>25027.25815072154</v>
      </c>
      <c r="F2213" s="140">
        <v>5.2098142370384721</v>
      </c>
    </row>
    <row r="2214" spans="1:6">
      <c r="A2214" s="149" t="s">
        <v>2962</v>
      </c>
      <c r="B2214" s="144" t="s">
        <v>2270</v>
      </c>
      <c r="C2214" s="44">
        <v>14043</v>
      </c>
      <c r="D2214" s="153">
        <f t="shared" si="34"/>
        <v>0.87768750000000006</v>
      </c>
      <c r="E2214" s="43">
        <v>24999.198931909214</v>
      </c>
      <c r="F2214" s="140">
        <v>5.2325324718689785</v>
      </c>
    </row>
    <row r="2215" spans="1:6">
      <c r="A2215" s="149" t="s">
        <v>2962</v>
      </c>
      <c r="B2215" s="144" t="s">
        <v>2271</v>
      </c>
      <c r="C2215" s="44">
        <v>14028</v>
      </c>
      <c r="D2215" s="153">
        <f t="shared" si="34"/>
        <v>0.87675000000000003</v>
      </c>
      <c r="E2215" s="43">
        <v>24971.18463180363</v>
      </c>
      <c r="F2215" s="140">
        <v>5.2552429862921599</v>
      </c>
    </row>
    <row r="2216" spans="1:6">
      <c r="A2216" s="149" t="s">
        <v>2962</v>
      </c>
      <c r="B2216" s="144" t="s">
        <v>2272</v>
      </c>
      <c r="C2216" s="44">
        <v>14012</v>
      </c>
      <c r="D2216" s="153">
        <f t="shared" si="34"/>
        <v>0.87575000000000003</v>
      </c>
      <c r="E2216" s="43">
        <v>24941.352100661123</v>
      </c>
      <c r="F2216" s="140">
        <v>5.2794590459588449</v>
      </c>
    </row>
    <row r="2217" spans="1:6">
      <c r="A2217" s="149" t="s">
        <v>2962</v>
      </c>
      <c r="B2217" s="144" t="s">
        <v>2273</v>
      </c>
      <c r="C2217" s="44">
        <v>13997</v>
      </c>
      <c r="D2217" s="153">
        <f t="shared" si="34"/>
        <v>0.87481249999999999</v>
      </c>
      <c r="E2217" s="43">
        <v>24913.430291406956</v>
      </c>
      <c r="F2217" s="140">
        <v>5.3021536626409329</v>
      </c>
    </row>
    <row r="2218" spans="1:6">
      <c r="A2218" s="149" t="s">
        <v>2962</v>
      </c>
      <c r="B2218" s="144" t="s">
        <v>2274</v>
      </c>
      <c r="C2218" s="44">
        <v>13982</v>
      </c>
      <c r="D2218" s="153">
        <f t="shared" si="34"/>
        <v>0.87387500000000007</v>
      </c>
      <c r="E2218" s="43">
        <v>24885.553071436178</v>
      </c>
      <c r="F2218" s="140">
        <v>5.324840614745483</v>
      </c>
    </row>
    <row r="2219" spans="1:6">
      <c r="A2219" s="149" t="s">
        <v>2962</v>
      </c>
      <c r="B2219" s="144" t="s">
        <v>2275</v>
      </c>
      <c r="C2219" s="44">
        <v>13967</v>
      </c>
      <c r="D2219" s="153">
        <f t="shared" si="34"/>
        <v>0.87293750000000003</v>
      </c>
      <c r="E2219" s="43">
        <v>24857.720334024787</v>
      </c>
      <c r="F2219" s="140">
        <v>5.3475199204053183</v>
      </c>
    </row>
    <row r="2220" spans="1:6">
      <c r="A2220" s="149" t="s">
        <v>2962</v>
      </c>
      <c r="B2220" s="144" t="s">
        <v>2276</v>
      </c>
      <c r="C2220" s="44">
        <v>13953</v>
      </c>
      <c r="D2220" s="153">
        <f t="shared" si="34"/>
        <v>0.87206249999999996</v>
      </c>
      <c r="E2220" s="43">
        <v>24831.783151740634</v>
      </c>
      <c r="F2220" s="140">
        <v>5.3686803895278103</v>
      </c>
    </row>
    <row r="2221" spans="1:6">
      <c r="A2221" s="149" t="s">
        <v>2962</v>
      </c>
      <c r="B2221" s="144" t="s">
        <v>2277</v>
      </c>
      <c r="C2221" s="44">
        <v>13938</v>
      </c>
      <c r="D2221" s="153">
        <f t="shared" si="34"/>
        <v>0.87112500000000004</v>
      </c>
      <c r="E2221" s="43">
        <v>24804.036112586298</v>
      </c>
      <c r="F2221" s="140">
        <v>5.3913449633465689</v>
      </c>
    </row>
    <row r="2222" spans="1:6">
      <c r="A2222" s="149" t="s">
        <v>2962</v>
      </c>
      <c r="B2222" s="144" t="s">
        <v>2278</v>
      </c>
      <c r="C2222" s="44">
        <v>13925</v>
      </c>
      <c r="D2222" s="153">
        <f t="shared" si="34"/>
        <v>0.87031250000000004</v>
      </c>
      <c r="E2222" s="43">
        <v>24780.024412248582</v>
      </c>
      <c r="F2222" s="140">
        <v>5.4109814510777596</v>
      </c>
    </row>
    <row r="2223" spans="1:6">
      <c r="A2223" s="149" t="s">
        <v>2962</v>
      </c>
      <c r="B2223" s="144" t="s">
        <v>2279</v>
      </c>
      <c r="C2223" s="44">
        <v>13911</v>
      </c>
      <c r="D2223" s="153">
        <f t="shared" si="34"/>
        <v>0.86943749999999997</v>
      </c>
      <c r="E2223" s="43">
        <v>24754.202683353662</v>
      </c>
      <c r="F2223" s="140">
        <v>5.4321220727974833</v>
      </c>
    </row>
    <row r="2224" spans="1:6">
      <c r="A2224" s="149" t="s">
        <v>2962</v>
      </c>
      <c r="B2224" s="144" t="s">
        <v>2280</v>
      </c>
      <c r="C2224" s="44">
        <v>13898</v>
      </c>
      <c r="D2224" s="153">
        <f t="shared" si="34"/>
        <v>0.86862499999999998</v>
      </c>
      <c r="E2224" s="43">
        <v>24730.259671436143</v>
      </c>
      <c r="F2224" s="140">
        <v>5.4517467521444587</v>
      </c>
    </row>
    <row r="2225" spans="1:6">
      <c r="A2225" s="149" t="s">
        <v>2962</v>
      </c>
      <c r="B2225" s="144" t="s">
        <v>2281</v>
      </c>
      <c r="C2225" s="44">
        <v>13885</v>
      </c>
      <c r="D2225" s="153">
        <f t="shared" si="34"/>
        <v>0.86781249999999999</v>
      </c>
      <c r="E2225" s="43">
        <v>24706.349626648309</v>
      </c>
      <c r="F2225" s="140">
        <v>5.4713657639442772</v>
      </c>
    </row>
    <row r="2226" spans="1:6">
      <c r="A2226" s="149" t="s">
        <v>2962</v>
      </c>
      <c r="B2226" s="144" t="s">
        <v>2282</v>
      </c>
      <c r="C2226" s="44">
        <v>13873</v>
      </c>
      <c r="D2226" s="153">
        <f t="shared" si="34"/>
        <v>0.86706250000000007</v>
      </c>
      <c r="E2226" s="43">
        <v>24684.308017994179</v>
      </c>
      <c r="F2226" s="140">
        <v>5.4894706007022478</v>
      </c>
    </row>
    <row r="2227" spans="1:6">
      <c r="A2227" s="149" t="s">
        <v>2962</v>
      </c>
      <c r="B2227" s="144" t="s">
        <v>2283</v>
      </c>
      <c r="C2227" s="44">
        <v>13861</v>
      </c>
      <c r="D2227" s="153">
        <f t="shared" si="34"/>
        <v>0.86631250000000004</v>
      </c>
      <c r="E2227" s="43">
        <v>24662.294388321785</v>
      </c>
      <c r="F2227" s="140">
        <v>5.507570627390237</v>
      </c>
    </row>
    <row r="2228" spans="1:6">
      <c r="A2228" s="149" t="s">
        <v>2962</v>
      </c>
      <c r="B2228" s="144" t="s">
        <v>2284</v>
      </c>
      <c r="C2228" s="44">
        <v>13849</v>
      </c>
      <c r="D2228" s="153">
        <f t="shared" si="34"/>
        <v>0.86556250000000001</v>
      </c>
      <c r="E2228" s="43">
        <v>24640.308684391352</v>
      </c>
      <c r="F2228" s="140">
        <v>5.5256658531458243</v>
      </c>
    </row>
    <row r="2229" spans="1:6">
      <c r="A2229" s="149" t="s">
        <v>2962</v>
      </c>
      <c r="B2229" s="144" t="s">
        <v>2285</v>
      </c>
      <c r="C2229" s="44">
        <v>13838</v>
      </c>
      <c r="D2229" s="153">
        <f t="shared" si="34"/>
        <v>0.86487500000000006</v>
      </c>
      <c r="E2229" s="43">
        <v>24620.179609086106</v>
      </c>
      <c r="F2229" s="140">
        <v>5.5422489337285015</v>
      </c>
    </row>
    <row r="2230" spans="1:6">
      <c r="A2230" s="149" t="s">
        <v>2962</v>
      </c>
      <c r="B2230" s="144" t="s">
        <v>2286</v>
      </c>
      <c r="C2230" s="44">
        <v>13827</v>
      </c>
      <c r="D2230" s="153">
        <f t="shared" si="34"/>
        <v>0.8641875</v>
      </c>
      <c r="E2230" s="43">
        <v>24600.073913732114</v>
      </c>
      <c r="F2230" s="140">
        <v>5.5588279948779018</v>
      </c>
    </row>
    <row r="2231" spans="1:6">
      <c r="A2231" s="149" t="s">
        <v>2962</v>
      </c>
      <c r="B2231" s="144" t="s">
        <v>2287</v>
      </c>
      <c r="C2231" s="44">
        <v>13817</v>
      </c>
      <c r="D2231" s="153">
        <f t="shared" si="34"/>
        <v>0.86356250000000001</v>
      </c>
      <c r="E2231" s="43">
        <v>24581.816262994038</v>
      </c>
      <c r="F2231" s="140">
        <v>5.5738963866087943</v>
      </c>
    </row>
    <row r="2232" spans="1:6">
      <c r="A2232" s="149" t="s">
        <v>2962</v>
      </c>
      <c r="B2232" s="144" t="s">
        <v>2288</v>
      </c>
      <c r="C2232" s="44">
        <v>13807</v>
      </c>
      <c r="D2232" s="153">
        <f t="shared" si="34"/>
        <v>0.86293750000000002</v>
      </c>
      <c r="E2232" s="43">
        <v>24563.577870365487</v>
      </c>
      <c r="F2232" s="140">
        <v>5.5889614675425605</v>
      </c>
    </row>
    <row r="2233" spans="1:6">
      <c r="A2233" s="149" t="s">
        <v>2962</v>
      </c>
      <c r="B2233" s="144" t="s">
        <v>2289</v>
      </c>
      <c r="C2233" s="44">
        <v>13798</v>
      </c>
      <c r="D2233" s="153">
        <f t="shared" si="34"/>
        <v>0.862375</v>
      </c>
      <c r="E2233" s="43">
        <v>24547.179757511862</v>
      </c>
      <c r="F2233" s="140">
        <v>5.6025172139914616</v>
      </c>
    </row>
    <row r="2234" spans="1:6">
      <c r="A2234" s="149" t="s">
        <v>2962</v>
      </c>
      <c r="B2234" s="144" t="s">
        <v>2290</v>
      </c>
      <c r="C2234" s="44">
        <v>13789</v>
      </c>
      <c r="D2234" s="153">
        <f t="shared" si="34"/>
        <v>0.86181249999999998</v>
      </c>
      <c r="E2234" s="43">
        <v>24530.79719690184</v>
      </c>
      <c r="F2234" s="140">
        <v>5.6160702867710484</v>
      </c>
    </row>
    <row r="2235" spans="1:6">
      <c r="A2235" s="149" t="s">
        <v>2962</v>
      </c>
      <c r="B2235" s="144" t="s">
        <v>2291</v>
      </c>
      <c r="C2235" s="44">
        <v>13780</v>
      </c>
      <c r="D2235" s="153">
        <f t="shared" si="34"/>
        <v>0.86125000000000007</v>
      </c>
      <c r="E2235" s="43">
        <v>24514.430166420898</v>
      </c>
      <c r="F2235" s="140">
        <v>5.6296206897001184</v>
      </c>
    </row>
    <row r="2236" spans="1:6">
      <c r="A2236" s="149" t="s">
        <v>2962</v>
      </c>
      <c r="B2236" s="144" t="s">
        <v>2292</v>
      </c>
      <c r="C2236" s="44">
        <v>13772</v>
      </c>
      <c r="D2236" s="153">
        <f t="shared" si="34"/>
        <v>0.86075000000000002</v>
      </c>
      <c r="E2236" s="43">
        <v>24499.894714676775</v>
      </c>
      <c r="F2236" s="140">
        <v>5.6416632540313003</v>
      </c>
    </row>
    <row r="2237" spans="1:6">
      <c r="A2237" s="149" t="s">
        <v>2962</v>
      </c>
      <c r="B2237" s="144" t="s">
        <v>2293</v>
      </c>
      <c r="C2237" s="44">
        <v>13764</v>
      </c>
      <c r="D2237" s="153">
        <f t="shared" si="34"/>
        <v>0.86025000000000007</v>
      </c>
      <c r="E2237" s="43">
        <v>24485.371500736688</v>
      </c>
      <c r="F2237" s="140">
        <v>5.6537037145409386</v>
      </c>
    </row>
    <row r="2238" spans="1:6">
      <c r="A2238" s="149" t="s">
        <v>2962</v>
      </c>
      <c r="B2238" s="144" t="s">
        <v>2294</v>
      </c>
      <c r="C2238" s="44">
        <v>13756</v>
      </c>
      <c r="D2238" s="153">
        <f t="shared" si="34"/>
        <v>0.85975000000000001</v>
      </c>
      <c r="E2238" s="43">
        <v>24470.860509152113</v>
      </c>
      <c r="F2238" s="140">
        <v>5.6657420739021518</v>
      </c>
    </row>
    <row r="2239" spans="1:6">
      <c r="A2239" s="149" t="s">
        <v>2962</v>
      </c>
      <c r="B2239" s="144" t="s">
        <v>2295</v>
      </c>
      <c r="C2239" s="44">
        <v>13749</v>
      </c>
      <c r="D2239" s="153">
        <f t="shared" si="34"/>
        <v>0.85931250000000003</v>
      </c>
      <c r="E2239" s="43">
        <v>24458.173405541827</v>
      </c>
      <c r="F2239" s="140">
        <v>5.6762739168442522</v>
      </c>
    </row>
    <row r="2240" spans="1:6">
      <c r="A2240" s="149" t="s">
        <v>2962</v>
      </c>
      <c r="B2240" s="144" t="s">
        <v>2296</v>
      </c>
      <c r="C2240" s="44">
        <v>13742</v>
      </c>
      <c r="D2240" s="153">
        <f t="shared" si="34"/>
        <v>0.85887500000000006</v>
      </c>
      <c r="E2240" s="43">
        <v>24445.495637548618</v>
      </c>
      <c r="F2240" s="140">
        <v>5.6868041549266763</v>
      </c>
    </row>
    <row r="2241" spans="1:6">
      <c r="A2241" s="149" t="s">
        <v>2962</v>
      </c>
      <c r="B2241" s="144" t="s">
        <v>2297</v>
      </c>
      <c r="C2241" s="44">
        <v>13736</v>
      </c>
      <c r="D2241" s="153">
        <f t="shared" si="34"/>
        <v>0.85850000000000004</v>
      </c>
      <c r="E2241" s="43">
        <v>24434.636401849515</v>
      </c>
      <c r="F2241" s="140">
        <v>5.6958287972993844</v>
      </c>
    </row>
    <row r="2242" spans="1:6">
      <c r="A2242" s="149" t="s">
        <v>2962</v>
      </c>
      <c r="B2242" s="144" t="s">
        <v>2298</v>
      </c>
      <c r="C2242" s="44">
        <v>13729</v>
      </c>
      <c r="D2242" s="153">
        <f t="shared" si="34"/>
        <v>0.85806250000000006</v>
      </c>
      <c r="E2242" s="43">
        <v>24421.975944114711</v>
      </c>
      <c r="F2242" s="140">
        <v>5.706356059664472</v>
      </c>
    </row>
    <row r="2243" spans="1:6">
      <c r="A2243" s="149" t="s">
        <v>2962</v>
      </c>
      <c r="B2243" s="144" t="s">
        <v>2299</v>
      </c>
      <c r="C2243" s="44">
        <v>13723</v>
      </c>
      <c r="D2243" s="153">
        <f t="shared" si="34"/>
        <v>0.85768750000000005</v>
      </c>
      <c r="E2243" s="43">
        <v>24411.131530585455</v>
      </c>
      <c r="F2243" s="140">
        <v>5.7153781540587261</v>
      </c>
    </row>
    <row r="2244" spans="1:6">
      <c r="A2244" s="149" t="s">
        <v>2962</v>
      </c>
      <c r="B2244" s="144" t="s">
        <v>2300</v>
      </c>
      <c r="C2244" s="44">
        <v>13718</v>
      </c>
      <c r="D2244" s="153">
        <f t="shared" si="34"/>
        <v>0.857375</v>
      </c>
      <c r="E2244" s="43">
        <v>24402.099737532808</v>
      </c>
      <c r="F2244" s="140">
        <v>5.7228956690377686</v>
      </c>
    </row>
    <row r="2245" spans="1:6">
      <c r="A2245" s="149" t="s">
        <v>2962</v>
      </c>
      <c r="B2245" s="144" t="s">
        <v>2301</v>
      </c>
      <c r="C2245" s="44">
        <v>13712</v>
      </c>
      <c r="D2245" s="153">
        <f t="shared" si="34"/>
        <v>0.85699999999999998</v>
      </c>
      <c r="E2245" s="43">
        <v>24391.267842149453</v>
      </c>
      <c r="F2245" s="140">
        <v>5.731915611563636</v>
      </c>
    </row>
    <row r="2246" spans="1:6">
      <c r="A2246" s="149" t="s">
        <v>2962</v>
      </c>
      <c r="B2246" s="144" t="s">
        <v>2302</v>
      </c>
      <c r="C2246" s="44">
        <v>13707</v>
      </c>
      <c r="D2246" s="153">
        <f t="shared" si="34"/>
        <v>0.85668750000000005</v>
      </c>
      <c r="E2246" s="43">
        <v>24382.246471853523</v>
      </c>
      <c r="F2246" s="140">
        <v>5.7394313348884225</v>
      </c>
    </row>
    <row r="2247" spans="1:6">
      <c r="A2247" s="149" t="s">
        <v>2962</v>
      </c>
      <c r="B2247" s="145" t="s">
        <v>2303</v>
      </c>
      <c r="C2247" s="142">
        <v>13702</v>
      </c>
      <c r="D2247" s="153">
        <f t="shared" ref="D2247:D2310" si="35">C2247/32768*4.096/2</f>
        <v>0.856375</v>
      </c>
      <c r="E2247" s="143">
        <v>24373.229833210953</v>
      </c>
      <c r="F2247" s="141">
        <v>5.7469462448616468</v>
      </c>
    </row>
    <row r="2248" spans="1:6">
      <c r="A2248" s="149" t="s">
        <v>2962</v>
      </c>
      <c r="B2248" s="144" t="s">
        <v>2304</v>
      </c>
      <c r="C2248" s="44">
        <v>13697</v>
      </c>
      <c r="D2248" s="153">
        <f t="shared" si="35"/>
        <v>0.85606250000000006</v>
      </c>
      <c r="E2248" s="43">
        <v>24364.217922500131</v>
      </c>
      <c r="F2248" s="140">
        <v>5.7544603421307556</v>
      </c>
    </row>
    <row r="2249" spans="1:6">
      <c r="A2249" s="149" t="s">
        <v>2962</v>
      </c>
      <c r="B2249" s="144" t="s">
        <v>2305</v>
      </c>
      <c r="C2249" s="44">
        <v>13693</v>
      </c>
      <c r="D2249" s="153">
        <f t="shared" si="35"/>
        <v>0.85581249999999998</v>
      </c>
      <c r="E2249" s="43">
        <v>24357.011795543905</v>
      </c>
      <c r="F2249" s="140">
        <v>5.7604710352339339</v>
      </c>
    </row>
    <row r="2250" spans="1:6">
      <c r="A2250" s="149" t="s">
        <v>2962</v>
      </c>
      <c r="B2250" s="144" t="s">
        <v>2306</v>
      </c>
      <c r="C2250" s="44">
        <v>13688</v>
      </c>
      <c r="D2250" s="153">
        <f t="shared" si="35"/>
        <v>0.85550000000000004</v>
      </c>
      <c r="E2250" s="43">
        <v>24348.008385744233</v>
      </c>
      <c r="F2250" s="140">
        <v>5.7679836712657107</v>
      </c>
    </row>
    <row r="2251" spans="1:6">
      <c r="A2251" s="149" t="s">
        <v>2962</v>
      </c>
      <c r="B2251" s="144" t="s">
        <v>2307</v>
      </c>
      <c r="C2251" s="44">
        <v>13684</v>
      </c>
      <c r="D2251" s="153">
        <f t="shared" si="35"/>
        <v>0.85525000000000007</v>
      </c>
      <c r="E2251" s="43">
        <v>24340.809054705511</v>
      </c>
      <c r="F2251" s="140">
        <v>5.7739931962167361</v>
      </c>
    </row>
    <row r="2252" spans="1:6">
      <c r="A2252" s="149" t="s">
        <v>2962</v>
      </c>
      <c r="B2252" s="144" t="s">
        <v>2308</v>
      </c>
      <c r="C2252" s="44">
        <v>13680</v>
      </c>
      <c r="D2252" s="153">
        <f t="shared" si="35"/>
        <v>0.85499999999999998</v>
      </c>
      <c r="E2252" s="43">
        <v>24333.612740989101</v>
      </c>
      <c r="F2252" s="140">
        <v>5.7800022025265889</v>
      </c>
    </row>
    <row r="2253" spans="1:6">
      <c r="A2253" s="149" t="s">
        <v>2962</v>
      </c>
      <c r="B2253" s="144" t="s">
        <v>2309</v>
      </c>
      <c r="C2253" s="44">
        <v>13677</v>
      </c>
      <c r="D2253" s="153">
        <f t="shared" si="35"/>
        <v>0.85481249999999998</v>
      </c>
      <c r="E2253" s="43">
        <v>24328.217484678644</v>
      </c>
      <c r="F2253" s="140">
        <v>5.7845086170995614</v>
      </c>
    </row>
    <row r="2254" spans="1:6">
      <c r="A2254" s="149" t="s">
        <v>2962</v>
      </c>
      <c r="B2254" s="144" t="s">
        <v>2310</v>
      </c>
      <c r="C2254" s="44">
        <v>13673</v>
      </c>
      <c r="D2254" s="153">
        <f t="shared" si="35"/>
        <v>0.8545625</v>
      </c>
      <c r="E2254" s="43">
        <v>24321.0264467138</v>
      </c>
      <c r="F2254" s="140">
        <v>5.7905167165824878</v>
      </c>
    </row>
    <row r="2255" spans="1:6">
      <c r="A2255" s="149" t="s">
        <v>2962</v>
      </c>
      <c r="B2255" s="144" t="s">
        <v>2311</v>
      </c>
      <c r="C2255" s="44">
        <v>13669</v>
      </c>
      <c r="D2255" s="153">
        <f t="shared" si="35"/>
        <v>0.85431250000000003</v>
      </c>
      <c r="E2255" s="43">
        <v>24313.838420859731</v>
      </c>
      <c r="F2255" s="140">
        <v>5.7965242983327698</v>
      </c>
    </row>
    <row r="2256" spans="1:6">
      <c r="A2256" s="149" t="s">
        <v>2962</v>
      </c>
      <c r="B2256" s="144" t="s">
        <v>2312</v>
      </c>
      <c r="C2256" s="44">
        <v>13666</v>
      </c>
      <c r="D2256" s="153">
        <f t="shared" si="35"/>
        <v>0.85412500000000002</v>
      </c>
      <c r="E2256" s="43">
        <v>24308.449377028584</v>
      </c>
      <c r="F2256" s="140">
        <v>5.8010296450819396</v>
      </c>
    </row>
    <row r="2257" spans="1:6">
      <c r="A2257" s="149" t="s">
        <v>2962</v>
      </c>
      <c r="B2257" s="144" t="s">
        <v>2313</v>
      </c>
      <c r="C2257" s="44">
        <v>13663</v>
      </c>
      <c r="D2257" s="153">
        <f t="shared" si="35"/>
        <v>0.85393750000000002</v>
      </c>
      <c r="E2257" s="43">
        <v>24303.062025647738</v>
      </c>
      <c r="F2257" s="140">
        <v>5.8055347009313323</v>
      </c>
    </row>
    <row r="2258" spans="1:6">
      <c r="A2258" s="149" t="s">
        <v>2962</v>
      </c>
      <c r="B2258" s="144" t="s">
        <v>2314</v>
      </c>
      <c r="C2258" s="44">
        <v>13660</v>
      </c>
      <c r="D2258" s="153">
        <f t="shared" si="35"/>
        <v>0.85375000000000001</v>
      </c>
      <c r="E2258" s="43">
        <v>24297.676365920033</v>
      </c>
      <c r="F2258" s="140">
        <v>5.8100394660200436</v>
      </c>
    </row>
    <row r="2259" spans="1:6">
      <c r="A2259" s="149" t="s">
        <v>2962</v>
      </c>
      <c r="B2259" s="144" t="s">
        <v>2315</v>
      </c>
      <c r="C2259" s="44">
        <v>13657</v>
      </c>
      <c r="D2259" s="153">
        <f t="shared" si="35"/>
        <v>0.8535625</v>
      </c>
      <c r="E2259" s="43">
        <v>24292.292397048819</v>
      </c>
      <c r="F2259" s="140">
        <v>5.81454394048734</v>
      </c>
    </row>
    <row r="2260" spans="1:6">
      <c r="A2260" s="149" t="s">
        <v>2962</v>
      </c>
      <c r="B2260" s="144" t="s">
        <v>2316</v>
      </c>
      <c r="C2260" s="44">
        <v>13654</v>
      </c>
      <c r="D2260" s="153">
        <f t="shared" si="35"/>
        <v>0.85337499999999999</v>
      </c>
      <c r="E2260" s="43">
        <v>24286.910118237942</v>
      </c>
      <c r="F2260" s="140">
        <v>5.8190481244719763</v>
      </c>
    </row>
    <row r="2261" spans="1:6">
      <c r="A2261" s="149" t="s">
        <v>2962</v>
      </c>
      <c r="B2261" s="144" t="s">
        <v>2317</v>
      </c>
      <c r="C2261" s="44">
        <v>13651</v>
      </c>
      <c r="D2261" s="153">
        <f t="shared" si="35"/>
        <v>0.85318749999999999</v>
      </c>
      <c r="E2261" s="43">
        <v>24281.529528691739</v>
      </c>
      <c r="F2261" s="140">
        <v>5.8235520181129914</v>
      </c>
    </row>
    <row r="2262" spans="1:6">
      <c r="A2262" s="149" t="s">
        <v>2962</v>
      </c>
      <c r="B2262" s="144" t="s">
        <v>2318</v>
      </c>
      <c r="C2262" s="44">
        <v>13649</v>
      </c>
      <c r="D2262" s="153">
        <f t="shared" si="35"/>
        <v>0.85306250000000006</v>
      </c>
      <c r="E2262" s="43">
        <v>24277.943407081959</v>
      </c>
      <c r="F2262" s="140">
        <v>5.8265544526403801</v>
      </c>
    </row>
    <row r="2263" spans="1:6">
      <c r="A2263" s="149" t="s">
        <v>2962</v>
      </c>
      <c r="B2263" s="144" t="s">
        <v>2319</v>
      </c>
      <c r="C2263" s="44">
        <v>13646</v>
      </c>
      <c r="D2263" s="153">
        <f t="shared" si="35"/>
        <v>0.85287500000000005</v>
      </c>
      <c r="E2263" s="43">
        <v>24272.565631210124</v>
      </c>
      <c r="F2263" s="140">
        <v>5.8310578626841334</v>
      </c>
    </row>
    <row r="2264" spans="1:6">
      <c r="A2264" s="149" t="s">
        <v>2962</v>
      </c>
      <c r="B2264" s="144" t="s">
        <v>2320</v>
      </c>
      <c r="C2264" s="44">
        <v>13644</v>
      </c>
      <c r="D2264" s="153">
        <f t="shared" si="35"/>
        <v>0.85275000000000001</v>
      </c>
      <c r="E2264" s="43">
        <v>24268.981384647563</v>
      </c>
      <c r="F2264" s="140">
        <v>5.8340599749418516</v>
      </c>
    </row>
    <row r="2265" spans="1:6">
      <c r="A2265" s="149" t="s">
        <v>2962</v>
      </c>
      <c r="B2265" s="144" t="s">
        <v>2321</v>
      </c>
      <c r="C2265" s="44">
        <v>13641</v>
      </c>
      <c r="D2265" s="153">
        <f t="shared" si="35"/>
        <v>0.8525625</v>
      </c>
      <c r="E2265" s="43">
        <v>24263.606420243636</v>
      </c>
      <c r="F2265" s="140">
        <v>5.8385629017739689</v>
      </c>
    </row>
    <row r="2266" spans="1:6">
      <c r="A2266" s="149" t="s">
        <v>2962</v>
      </c>
      <c r="B2266" s="144" t="s">
        <v>2322</v>
      </c>
      <c r="C2266" s="44">
        <v>13639</v>
      </c>
      <c r="D2266" s="153">
        <f t="shared" si="35"/>
        <v>0.85243750000000007</v>
      </c>
      <c r="E2266" s="43">
        <v>24260.024047258088</v>
      </c>
      <c r="F2266" s="140">
        <v>5.8415646920191193</v>
      </c>
    </row>
    <row r="2267" spans="1:6">
      <c r="A2267" s="149" t="s">
        <v>2962</v>
      </c>
      <c r="B2267" s="144" t="s">
        <v>2323</v>
      </c>
      <c r="C2267" s="44">
        <v>13637</v>
      </c>
      <c r="D2267" s="153">
        <f t="shared" si="35"/>
        <v>0.85231250000000003</v>
      </c>
      <c r="E2267" s="43">
        <v>24256.442423292039</v>
      </c>
      <c r="F2267" s="140">
        <v>5.8445663535311496</v>
      </c>
    </row>
    <row r="2268" spans="1:6">
      <c r="A2268" s="149" t="s">
        <v>2962</v>
      </c>
      <c r="B2268" s="144" t="s">
        <v>2324</v>
      </c>
      <c r="C2268" s="44">
        <v>13635</v>
      </c>
      <c r="D2268" s="153">
        <f t="shared" si="35"/>
        <v>0.85218749999999999</v>
      </c>
      <c r="E2268" s="43">
        <v>24252.861548110595</v>
      </c>
      <c r="F2268" s="140">
        <v>5.8475678863511575</v>
      </c>
    </row>
    <row r="2269" spans="1:6">
      <c r="A2269" s="149" t="s">
        <v>2962</v>
      </c>
      <c r="B2269" s="144" t="s">
        <v>2325</v>
      </c>
      <c r="C2269" s="44">
        <v>13633</v>
      </c>
      <c r="D2269" s="153">
        <f t="shared" si="35"/>
        <v>0.85206250000000006</v>
      </c>
      <c r="E2269" s="43">
        <v>24249.281421478965</v>
      </c>
      <c r="F2269" s="140">
        <v>5.850569290520184</v>
      </c>
    </row>
    <row r="2270" spans="1:6">
      <c r="A2270" s="149" t="s">
        <v>2962</v>
      </c>
      <c r="B2270" s="144" t="s">
        <v>2326</v>
      </c>
      <c r="C2270" s="44">
        <v>13631</v>
      </c>
      <c r="D2270" s="153">
        <f t="shared" si="35"/>
        <v>0.85193750000000001</v>
      </c>
      <c r="E2270" s="43">
        <v>24245.702043162459</v>
      </c>
      <c r="F2270" s="140">
        <v>5.8535705660793269</v>
      </c>
    </row>
    <row r="2271" spans="1:6">
      <c r="A2271" s="149" t="s">
        <v>2962</v>
      </c>
      <c r="B2271" s="144" t="s">
        <v>2327</v>
      </c>
      <c r="C2271" s="44">
        <v>13629</v>
      </c>
      <c r="D2271" s="153">
        <f t="shared" si="35"/>
        <v>0.85181249999999997</v>
      </c>
      <c r="E2271" s="43">
        <v>24242.123412926485</v>
      </c>
      <c r="F2271" s="140">
        <v>5.8565717130696839</v>
      </c>
    </row>
    <row r="2272" spans="1:6">
      <c r="A2272" s="149" t="s">
        <v>2962</v>
      </c>
      <c r="B2272" s="144" t="s">
        <v>2328</v>
      </c>
      <c r="C2272" s="44">
        <v>13627</v>
      </c>
      <c r="D2272" s="153">
        <f t="shared" si="35"/>
        <v>0.85168750000000004</v>
      </c>
      <c r="E2272" s="43">
        <v>24238.545530536543</v>
      </c>
      <c r="F2272" s="140">
        <v>5.8595727315322392</v>
      </c>
    </row>
    <row r="2273" spans="1:6">
      <c r="A2273" s="149" t="s">
        <v>2962</v>
      </c>
      <c r="B2273" s="144" t="s">
        <v>2329</v>
      </c>
      <c r="C2273" s="44">
        <v>13625</v>
      </c>
      <c r="D2273" s="153">
        <f t="shared" si="35"/>
        <v>0.8515625</v>
      </c>
      <c r="E2273" s="43">
        <v>24234.968395758242</v>
      </c>
      <c r="F2273" s="140">
        <v>5.8625736215079769</v>
      </c>
    </row>
    <row r="2274" spans="1:6">
      <c r="A2274" s="149" t="s">
        <v>2962</v>
      </c>
      <c r="B2274" s="144" t="s">
        <v>2330</v>
      </c>
      <c r="C2274" s="44">
        <v>13624</v>
      </c>
      <c r="D2274" s="153">
        <f t="shared" si="35"/>
        <v>0.85150000000000003</v>
      </c>
      <c r="E2274" s="43">
        <v>24233.180108650231</v>
      </c>
      <c r="F2274" s="140">
        <v>5.8640740183261642</v>
      </c>
    </row>
    <row r="2275" spans="1:6">
      <c r="A2275" s="149" t="s">
        <v>2962</v>
      </c>
      <c r="B2275" s="144" t="s">
        <v>2331</v>
      </c>
      <c r="C2275" s="44">
        <v>13622</v>
      </c>
      <c r="D2275" s="153">
        <f t="shared" si="35"/>
        <v>0.85137499999999999</v>
      </c>
      <c r="E2275" s="43">
        <v>24229.6040948501</v>
      </c>
      <c r="F2275" s="140">
        <v>5.867074715648755</v>
      </c>
    </row>
    <row r="2276" spans="1:6">
      <c r="A2276" s="149" t="s">
        <v>2962</v>
      </c>
      <c r="B2276" s="144" t="s">
        <v>2332</v>
      </c>
      <c r="C2276" s="44">
        <v>13620</v>
      </c>
      <c r="D2276" s="153">
        <f t="shared" si="35"/>
        <v>0.85125000000000006</v>
      </c>
      <c r="E2276" s="43">
        <v>24226.02882807604</v>
      </c>
      <c r="F2276" s="140">
        <v>5.8700752845871307</v>
      </c>
    </row>
    <row r="2277" spans="1:6">
      <c r="A2277" s="149" t="s">
        <v>2962</v>
      </c>
      <c r="B2277" s="144" t="s">
        <v>2333</v>
      </c>
      <c r="C2277" s="44">
        <v>13619</v>
      </c>
      <c r="D2277" s="153">
        <f t="shared" si="35"/>
        <v>0.85118749999999999</v>
      </c>
      <c r="E2277" s="43">
        <v>24224.241474750641</v>
      </c>
      <c r="F2277" s="140">
        <v>5.8715755209250347</v>
      </c>
    </row>
    <row r="2278" spans="1:6">
      <c r="A2278" s="149" t="s">
        <v>2962</v>
      </c>
      <c r="B2278" s="144" t="s">
        <v>2334</v>
      </c>
      <c r="C2278" s="44">
        <v>13617</v>
      </c>
      <c r="D2278" s="153">
        <f t="shared" si="35"/>
        <v>0.85106250000000006</v>
      </c>
      <c r="E2278" s="43">
        <v>24220.667328076863</v>
      </c>
      <c r="F2278" s="140">
        <v>5.8745758973639681</v>
      </c>
    </row>
    <row r="2279" spans="1:6">
      <c r="A2279" s="149" t="s">
        <v>2962</v>
      </c>
      <c r="B2279" s="144" t="s">
        <v>2335</v>
      </c>
      <c r="C2279" s="44">
        <v>13616</v>
      </c>
      <c r="D2279" s="153">
        <f t="shared" si="35"/>
        <v>0.85099999999999998</v>
      </c>
      <c r="E2279" s="43">
        <v>24218.88053467001</v>
      </c>
      <c r="F2279" s="140">
        <v>5.8760760374752294</v>
      </c>
    </row>
    <row r="2280" spans="1:6">
      <c r="A2280" s="149" t="s">
        <v>2962</v>
      </c>
      <c r="B2280" s="144" t="s">
        <v>2336</v>
      </c>
      <c r="C2280" s="44">
        <v>13614</v>
      </c>
      <c r="D2280" s="153">
        <f t="shared" si="35"/>
        <v>0.85087500000000005</v>
      </c>
      <c r="E2280" s="43">
        <v>24215.307507570222</v>
      </c>
      <c r="F2280" s="140">
        <v>5.8790762215069776</v>
      </c>
    </row>
    <row r="2281" spans="1:6">
      <c r="A2281" s="149" t="s">
        <v>2962</v>
      </c>
      <c r="B2281" s="144" t="s">
        <v>2337</v>
      </c>
      <c r="C2281" s="44">
        <v>13613</v>
      </c>
      <c r="D2281" s="153">
        <f t="shared" si="35"/>
        <v>0.85081249999999997</v>
      </c>
      <c r="E2281" s="43">
        <v>24213.521273818846</v>
      </c>
      <c r="F2281" s="140">
        <v>5.8805762654376394</v>
      </c>
    </row>
    <row r="2282" spans="1:6">
      <c r="A2282" s="149" t="s">
        <v>2962</v>
      </c>
      <c r="B2282" s="144" t="s">
        <v>2338</v>
      </c>
      <c r="C2282" s="44">
        <v>13612</v>
      </c>
      <c r="D2282" s="153">
        <f t="shared" si="35"/>
        <v>0.85075000000000001</v>
      </c>
      <c r="E2282" s="43">
        <v>24211.735226560868</v>
      </c>
      <c r="F2282" s="140">
        <v>5.8820762773183333</v>
      </c>
    </row>
    <row r="2283" spans="1:6">
      <c r="A2283" s="149" t="s">
        <v>2962</v>
      </c>
      <c r="B2283" s="144" t="s">
        <v>2339</v>
      </c>
      <c r="C2283" s="44">
        <v>13611</v>
      </c>
      <c r="D2283" s="153">
        <f t="shared" si="35"/>
        <v>0.85068750000000004</v>
      </c>
      <c r="E2283" s="43">
        <v>24209.949365767083</v>
      </c>
      <c r="F2283" s="140">
        <v>5.8835762571542887</v>
      </c>
    </row>
    <row r="2284" spans="1:6">
      <c r="A2284" s="149" t="s">
        <v>2962</v>
      </c>
      <c r="B2284" s="144" t="s">
        <v>2340</v>
      </c>
      <c r="C2284" s="44">
        <v>13609</v>
      </c>
      <c r="D2284" s="153">
        <f t="shared" si="35"/>
        <v>0.8505625</v>
      </c>
      <c r="E2284" s="43">
        <v>24206.378203455297</v>
      </c>
      <c r="F2284" s="140">
        <v>5.8865761207120499</v>
      </c>
    </row>
    <row r="2285" spans="1:6">
      <c r="A2285" s="149" t="s">
        <v>2962</v>
      </c>
      <c r="B2285" s="144" t="s">
        <v>2341</v>
      </c>
      <c r="C2285" s="44">
        <v>13608</v>
      </c>
      <c r="D2285" s="153">
        <f t="shared" si="35"/>
        <v>0.85050000000000003</v>
      </c>
      <c r="E2285" s="43">
        <v>24204.592901878914</v>
      </c>
      <c r="F2285" s="140">
        <v>5.8880760044442013</v>
      </c>
    </row>
    <row r="2286" spans="1:6">
      <c r="A2286" s="149" t="s">
        <v>2962</v>
      </c>
      <c r="B2286" s="144" t="s">
        <v>2342</v>
      </c>
      <c r="C2286" s="44">
        <v>13607</v>
      </c>
      <c r="D2286" s="153">
        <f t="shared" si="35"/>
        <v>0.85043750000000007</v>
      </c>
      <c r="E2286" s="43">
        <v>24202.807786649966</v>
      </c>
      <c r="F2286" s="140">
        <v>5.8895758561519642</v>
      </c>
    </row>
    <row r="2287" spans="1:6">
      <c r="A2287" s="149" t="s">
        <v>2962</v>
      </c>
      <c r="B2287" s="144" t="s">
        <v>2343</v>
      </c>
      <c r="C2287" s="44">
        <v>13606</v>
      </c>
      <c r="D2287" s="153">
        <f t="shared" si="35"/>
        <v>0.85037499999999999</v>
      </c>
      <c r="E2287" s="43">
        <v>24201.022857739277</v>
      </c>
      <c r="F2287" s="140">
        <v>5.8910756758404546</v>
      </c>
    </row>
    <row r="2288" spans="1:6">
      <c r="A2288" s="149" t="s">
        <v>2962</v>
      </c>
      <c r="B2288" s="144" t="s">
        <v>2344</v>
      </c>
      <c r="C2288" s="44">
        <v>13605</v>
      </c>
      <c r="D2288" s="153">
        <f t="shared" si="35"/>
        <v>0.85031250000000003</v>
      </c>
      <c r="E2288" s="43">
        <v>24199.238115117674</v>
      </c>
      <c r="F2288" s="140">
        <v>5.8925754635149019</v>
      </c>
    </row>
    <row r="2289" spans="1:6">
      <c r="A2289" s="149" t="s">
        <v>2962</v>
      </c>
      <c r="B2289" s="144" t="s">
        <v>2345</v>
      </c>
      <c r="C2289" s="44">
        <v>13604</v>
      </c>
      <c r="D2289" s="153">
        <f t="shared" si="35"/>
        <v>0.85025000000000006</v>
      </c>
      <c r="E2289" s="43">
        <v>24197.453558756002</v>
      </c>
      <c r="F2289" s="140">
        <v>5.8940752191802517</v>
      </c>
    </row>
    <row r="2290" spans="1:6">
      <c r="A2290" s="149" t="s">
        <v>2962</v>
      </c>
      <c r="B2290" s="144" t="s">
        <v>2346</v>
      </c>
      <c r="C2290" s="44">
        <v>13602</v>
      </c>
      <c r="D2290" s="153">
        <f t="shared" si="35"/>
        <v>0.85012500000000002</v>
      </c>
      <c r="E2290" s="43">
        <v>24193.885004695814</v>
      </c>
      <c r="F2290" s="140">
        <v>5.8970746345044631</v>
      </c>
    </row>
    <row r="2291" spans="1:6">
      <c r="A2291" s="149" t="s">
        <v>2962</v>
      </c>
      <c r="B2291" s="144" t="s">
        <v>2347</v>
      </c>
      <c r="C2291" s="44">
        <v>13602</v>
      </c>
      <c r="D2291" s="153">
        <f t="shared" si="35"/>
        <v>0.85012500000000002</v>
      </c>
      <c r="E2291" s="43">
        <v>24193.885004695814</v>
      </c>
      <c r="F2291" s="140">
        <v>5.8970746345044631</v>
      </c>
    </row>
    <row r="2292" spans="1:6">
      <c r="A2292" s="149" t="s">
        <v>2962</v>
      </c>
      <c r="B2292" s="144" t="s">
        <v>2348</v>
      </c>
      <c r="C2292" s="44">
        <v>13600</v>
      </c>
      <c r="D2292" s="153">
        <f t="shared" si="35"/>
        <v>0.85</v>
      </c>
      <c r="E2292" s="43">
        <v>24190.317195325544</v>
      </c>
      <c r="F2292" s="140">
        <v>5.9000739218539024</v>
      </c>
    </row>
    <row r="2293" spans="1:6">
      <c r="A2293" s="149" t="s">
        <v>2962</v>
      </c>
      <c r="B2293" s="144" t="s">
        <v>2349</v>
      </c>
      <c r="C2293" s="44">
        <v>13600</v>
      </c>
      <c r="D2293" s="153">
        <f t="shared" si="35"/>
        <v>0.85</v>
      </c>
      <c r="E2293" s="43">
        <v>24190.317195325544</v>
      </c>
      <c r="F2293" s="140">
        <v>5.9000739218539024</v>
      </c>
    </row>
    <row r="2294" spans="1:6">
      <c r="A2294" s="149" t="s">
        <v>2962</v>
      </c>
      <c r="B2294" s="144" t="s">
        <v>2350</v>
      </c>
      <c r="C2294" s="44">
        <v>13599</v>
      </c>
      <c r="D2294" s="153">
        <f t="shared" si="35"/>
        <v>0.84993750000000001</v>
      </c>
      <c r="E2294" s="43">
        <v>24188.533569826282</v>
      </c>
      <c r="F2294" s="140">
        <v>5.9015735175509576</v>
      </c>
    </row>
    <row r="2295" spans="1:6">
      <c r="A2295" s="149" t="s">
        <v>2962</v>
      </c>
      <c r="B2295" s="144" t="s">
        <v>2351</v>
      </c>
      <c r="C2295" s="44">
        <v>13598</v>
      </c>
      <c r="D2295" s="153">
        <f t="shared" si="35"/>
        <v>0.84987500000000005</v>
      </c>
      <c r="E2295" s="43">
        <v>24186.750130412103</v>
      </c>
      <c r="F2295" s="140">
        <v>5.9030730812696106</v>
      </c>
    </row>
    <row r="2296" spans="1:6">
      <c r="A2296" s="149" t="s">
        <v>2962</v>
      </c>
      <c r="B2296" s="144" t="s">
        <v>2352</v>
      </c>
      <c r="C2296" s="44">
        <v>13597</v>
      </c>
      <c r="D2296" s="153">
        <f t="shared" si="35"/>
        <v>0.84981249999999997</v>
      </c>
      <c r="E2296" s="43">
        <v>24184.966877053885</v>
      </c>
      <c r="F2296" s="140">
        <v>5.9045726130150911</v>
      </c>
    </row>
    <row r="2297" spans="1:6">
      <c r="A2297" s="149" t="s">
        <v>2962</v>
      </c>
      <c r="B2297" s="144" t="s">
        <v>2353</v>
      </c>
      <c r="C2297" s="44">
        <v>13596</v>
      </c>
      <c r="D2297" s="153">
        <f t="shared" si="35"/>
        <v>0.84975000000000001</v>
      </c>
      <c r="E2297" s="43">
        <v>24183.183809722512</v>
      </c>
      <c r="F2297" s="140">
        <v>5.9060721127923443</v>
      </c>
    </row>
    <row r="2298" spans="1:6">
      <c r="A2298" s="149" t="s">
        <v>2962</v>
      </c>
      <c r="B2298" s="144" t="s">
        <v>2354</v>
      </c>
      <c r="C2298" s="44">
        <v>13595</v>
      </c>
      <c r="D2298" s="153">
        <f t="shared" si="35"/>
        <v>0.84968750000000004</v>
      </c>
      <c r="E2298" s="43">
        <v>24181.400928388881</v>
      </c>
      <c r="F2298" s="140">
        <v>5.9075715806067137</v>
      </c>
    </row>
    <row r="2299" spans="1:6">
      <c r="A2299" s="149" t="s">
        <v>2962</v>
      </c>
      <c r="B2299" s="144" t="s">
        <v>2355</v>
      </c>
      <c r="C2299" s="44">
        <v>13594</v>
      </c>
      <c r="D2299" s="153">
        <f t="shared" si="35"/>
        <v>0.84962499999999996</v>
      </c>
      <c r="E2299" s="43">
        <v>24179.618233023888</v>
      </c>
      <c r="F2299" s="140">
        <v>5.9090710164631446</v>
      </c>
    </row>
    <row r="2300" spans="1:6">
      <c r="A2300" s="149" t="s">
        <v>2962</v>
      </c>
      <c r="B2300" s="144" t="s">
        <v>2356</v>
      </c>
      <c r="C2300" s="44">
        <v>13594</v>
      </c>
      <c r="D2300" s="153">
        <f t="shared" si="35"/>
        <v>0.84962499999999996</v>
      </c>
      <c r="E2300" s="43">
        <v>24179.618233023888</v>
      </c>
      <c r="F2300" s="140">
        <v>5.9090710164631446</v>
      </c>
    </row>
    <row r="2301" spans="1:6">
      <c r="A2301" s="149" t="s">
        <v>2962</v>
      </c>
      <c r="B2301" s="144" t="s">
        <v>2357</v>
      </c>
      <c r="C2301" s="44">
        <v>13593</v>
      </c>
      <c r="D2301" s="153">
        <f t="shared" si="35"/>
        <v>0.8495625</v>
      </c>
      <c r="E2301" s="43">
        <v>24177.835723598437</v>
      </c>
      <c r="F2301" s="140">
        <v>5.9105704203668097</v>
      </c>
    </row>
    <row r="2302" spans="1:6">
      <c r="A2302" s="149" t="s">
        <v>2962</v>
      </c>
      <c r="B2302" s="144" t="s">
        <v>2358</v>
      </c>
      <c r="C2302" s="44">
        <v>13592</v>
      </c>
      <c r="D2302" s="153">
        <f t="shared" si="35"/>
        <v>0.84950000000000003</v>
      </c>
      <c r="E2302" s="43">
        <v>24176.053400083438</v>
      </c>
      <c r="F2302" s="140">
        <v>5.9120697923227112</v>
      </c>
    </row>
    <row r="2303" spans="1:6">
      <c r="A2303" s="149" t="s">
        <v>2962</v>
      </c>
      <c r="B2303" s="144" t="s">
        <v>2359</v>
      </c>
      <c r="C2303" s="44">
        <v>13591</v>
      </c>
      <c r="D2303" s="153">
        <f t="shared" si="35"/>
        <v>0.84943750000000007</v>
      </c>
      <c r="E2303" s="43">
        <v>24174.271262449809</v>
      </c>
      <c r="F2303" s="140">
        <v>5.9135691323360788</v>
      </c>
    </row>
    <row r="2304" spans="1:6">
      <c r="A2304" s="149" t="s">
        <v>2962</v>
      </c>
      <c r="B2304" s="144" t="s">
        <v>2360</v>
      </c>
      <c r="C2304" s="44">
        <v>13591</v>
      </c>
      <c r="D2304" s="153">
        <f t="shared" si="35"/>
        <v>0.84943750000000007</v>
      </c>
      <c r="E2304" s="43">
        <v>24174.271262449809</v>
      </c>
      <c r="F2304" s="140">
        <v>5.9135691323360788</v>
      </c>
    </row>
    <row r="2305" spans="1:6">
      <c r="A2305" s="149" t="s">
        <v>2962</v>
      </c>
      <c r="B2305" s="144" t="s">
        <v>2361</v>
      </c>
      <c r="C2305" s="44">
        <v>13590</v>
      </c>
      <c r="D2305" s="153">
        <f t="shared" si="35"/>
        <v>0.84937499999999999</v>
      </c>
      <c r="E2305" s="43">
        <v>24172.489310668476</v>
      </c>
      <c r="F2305" s="140">
        <v>5.9150684404119716</v>
      </c>
    </row>
    <row r="2306" spans="1:6">
      <c r="A2306" s="149" t="s">
        <v>2962</v>
      </c>
      <c r="B2306" s="144" t="s">
        <v>2362</v>
      </c>
      <c r="C2306" s="44">
        <v>13589</v>
      </c>
      <c r="D2306" s="153">
        <f t="shared" si="35"/>
        <v>0.84931250000000003</v>
      </c>
      <c r="E2306" s="43">
        <v>24170.70754471036</v>
      </c>
      <c r="F2306" s="140">
        <v>5.9165677165554484</v>
      </c>
    </row>
    <row r="2307" spans="1:6">
      <c r="A2307" s="149" t="s">
        <v>2962</v>
      </c>
      <c r="B2307" s="144" t="s">
        <v>2363</v>
      </c>
      <c r="C2307" s="44">
        <v>13589</v>
      </c>
      <c r="D2307" s="153">
        <f t="shared" si="35"/>
        <v>0.84931250000000003</v>
      </c>
      <c r="E2307" s="43">
        <v>24170.70754471036</v>
      </c>
      <c r="F2307" s="140">
        <v>5.9165677165554484</v>
      </c>
    </row>
    <row r="2308" spans="1:6">
      <c r="A2308" s="149" t="s">
        <v>2962</v>
      </c>
      <c r="B2308" s="144" t="s">
        <v>2364</v>
      </c>
      <c r="C2308" s="44">
        <v>13588</v>
      </c>
      <c r="D2308" s="153">
        <f t="shared" si="35"/>
        <v>0.84925000000000006</v>
      </c>
      <c r="E2308" s="43">
        <v>24168.925964546401</v>
      </c>
      <c r="F2308" s="140">
        <v>5.9180669607717391</v>
      </c>
    </row>
    <row r="2309" spans="1:6">
      <c r="A2309" s="149" t="s">
        <v>2962</v>
      </c>
      <c r="B2309" s="144" t="s">
        <v>2365</v>
      </c>
      <c r="C2309" s="44">
        <v>13587</v>
      </c>
      <c r="D2309" s="153">
        <f t="shared" si="35"/>
        <v>0.84918749999999998</v>
      </c>
      <c r="E2309" s="43">
        <v>24167.144570147542</v>
      </c>
      <c r="F2309" s="140">
        <v>5.9195661730658458</v>
      </c>
    </row>
    <row r="2310" spans="1:6">
      <c r="A2310" s="149" t="s">
        <v>2962</v>
      </c>
      <c r="B2310" s="144" t="s">
        <v>2366</v>
      </c>
      <c r="C2310" s="44">
        <v>13587</v>
      </c>
      <c r="D2310" s="153">
        <f t="shared" si="35"/>
        <v>0.84918749999999998</v>
      </c>
      <c r="E2310" s="43">
        <v>24167.144570147542</v>
      </c>
      <c r="F2310" s="140">
        <v>5.9195661730658458</v>
      </c>
    </row>
    <row r="2311" spans="1:6">
      <c r="A2311" s="149" t="s">
        <v>2962</v>
      </c>
      <c r="B2311" s="144" t="s">
        <v>2367</v>
      </c>
      <c r="C2311" s="44">
        <v>13586</v>
      </c>
      <c r="D2311" s="153">
        <f t="shared" ref="D2311:D2374" si="36">C2311/32768*4.096/2</f>
        <v>0.84912500000000002</v>
      </c>
      <c r="E2311" s="43">
        <v>24165.363361484724</v>
      </c>
      <c r="F2311" s="140">
        <v>5.9210653534428843</v>
      </c>
    </row>
    <row r="2312" spans="1:6">
      <c r="A2312" s="149" t="s">
        <v>2962</v>
      </c>
      <c r="B2312" s="144" t="s">
        <v>2368</v>
      </c>
      <c r="C2312" s="44">
        <v>13586</v>
      </c>
      <c r="D2312" s="153">
        <f t="shared" si="36"/>
        <v>0.84912500000000002</v>
      </c>
      <c r="E2312" s="43">
        <v>24165.363361484724</v>
      </c>
      <c r="F2312" s="140">
        <v>5.9210653534428843</v>
      </c>
    </row>
    <row r="2313" spans="1:6">
      <c r="A2313" s="149" t="s">
        <v>2962</v>
      </c>
      <c r="B2313" s="144" t="s">
        <v>2369</v>
      </c>
      <c r="C2313" s="44">
        <v>13585</v>
      </c>
      <c r="D2313" s="153">
        <f t="shared" si="36"/>
        <v>0.84906250000000005</v>
      </c>
      <c r="E2313" s="43">
        <v>24163.582338528904</v>
      </c>
      <c r="F2313" s="140">
        <v>5.9225645019079707</v>
      </c>
    </row>
    <row r="2314" spans="1:6">
      <c r="A2314" s="149" t="s">
        <v>2962</v>
      </c>
      <c r="B2314" s="144" t="s">
        <v>2370</v>
      </c>
      <c r="C2314" s="44">
        <v>13585</v>
      </c>
      <c r="D2314" s="153">
        <f t="shared" si="36"/>
        <v>0.84906250000000005</v>
      </c>
      <c r="E2314" s="43">
        <v>24163.582338528904</v>
      </c>
      <c r="F2314" s="140">
        <v>5.9225645019079707</v>
      </c>
    </row>
    <row r="2315" spans="1:6">
      <c r="A2315" s="149" t="s">
        <v>2962</v>
      </c>
      <c r="B2315" s="144" t="s">
        <v>2371</v>
      </c>
      <c r="C2315" s="44">
        <v>13584</v>
      </c>
      <c r="D2315" s="153">
        <f t="shared" si="36"/>
        <v>0.84899999999999998</v>
      </c>
      <c r="E2315" s="43">
        <v>24161.801501251044</v>
      </c>
      <c r="F2315" s="140">
        <v>5.9240636184662208</v>
      </c>
    </row>
    <row r="2316" spans="1:6">
      <c r="A2316" s="149" t="s">
        <v>2962</v>
      </c>
      <c r="B2316" s="144" t="s">
        <v>2372</v>
      </c>
      <c r="C2316" s="44">
        <v>13583</v>
      </c>
      <c r="D2316" s="153">
        <f t="shared" si="36"/>
        <v>0.84893750000000001</v>
      </c>
      <c r="E2316" s="43">
        <v>24160.020849622102</v>
      </c>
      <c r="F2316" s="140">
        <v>5.9255627031227505</v>
      </c>
    </row>
    <row r="2317" spans="1:6">
      <c r="A2317" s="149" t="s">
        <v>2962</v>
      </c>
      <c r="B2317" s="144" t="s">
        <v>2373</v>
      </c>
      <c r="C2317" s="44">
        <v>13583</v>
      </c>
      <c r="D2317" s="153">
        <f t="shared" si="36"/>
        <v>0.84893750000000001</v>
      </c>
      <c r="E2317" s="43">
        <v>24160.020849622102</v>
      </c>
      <c r="F2317" s="140">
        <v>5.9255627031227505</v>
      </c>
    </row>
    <row r="2318" spans="1:6">
      <c r="A2318" s="149" t="s">
        <v>2962</v>
      </c>
      <c r="B2318" s="144" t="s">
        <v>2374</v>
      </c>
      <c r="C2318" s="44">
        <v>13582</v>
      </c>
      <c r="D2318" s="153">
        <f t="shared" si="36"/>
        <v>0.84887500000000005</v>
      </c>
      <c r="E2318" s="43">
        <v>24158.240383613051</v>
      </c>
      <c r="F2318" s="140">
        <v>5.9270617558825052</v>
      </c>
    </row>
    <row r="2319" spans="1:6">
      <c r="A2319" s="149" t="s">
        <v>2962</v>
      </c>
      <c r="B2319" s="144" t="s">
        <v>2375</v>
      </c>
      <c r="C2319" s="44">
        <v>13582</v>
      </c>
      <c r="D2319" s="153">
        <f t="shared" si="36"/>
        <v>0.84887500000000005</v>
      </c>
      <c r="E2319" s="43">
        <v>24158.240383613051</v>
      </c>
      <c r="F2319" s="140">
        <v>5.9270617558825052</v>
      </c>
    </row>
    <row r="2320" spans="1:6">
      <c r="A2320" s="149" t="s">
        <v>2962</v>
      </c>
      <c r="B2320" s="144" t="s">
        <v>2376</v>
      </c>
      <c r="C2320" s="44">
        <v>13581</v>
      </c>
      <c r="D2320" s="153">
        <f t="shared" si="36"/>
        <v>0.84881249999999997</v>
      </c>
      <c r="E2320" s="43">
        <v>24156.460103194873</v>
      </c>
      <c r="F2320" s="140">
        <v>5.9285607767508282</v>
      </c>
    </row>
    <row r="2321" spans="1:6">
      <c r="A2321" s="149" t="s">
        <v>2962</v>
      </c>
      <c r="B2321" s="144" t="s">
        <v>2377</v>
      </c>
      <c r="C2321" s="44">
        <v>13581</v>
      </c>
      <c r="D2321" s="153">
        <f t="shared" si="36"/>
        <v>0.84881249999999997</v>
      </c>
      <c r="E2321" s="43">
        <v>24156.460103194873</v>
      </c>
      <c r="F2321" s="140">
        <v>5.9285607767508282</v>
      </c>
    </row>
    <row r="2322" spans="1:6">
      <c r="A2322" s="149" t="s">
        <v>2962</v>
      </c>
      <c r="B2322" s="144" t="s">
        <v>2378</v>
      </c>
      <c r="C2322" s="44">
        <v>13580</v>
      </c>
      <c r="D2322" s="153">
        <f t="shared" si="36"/>
        <v>0.84875</v>
      </c>
      <c r="E2322" s="43">
        <v>24154.680008338546</v>
      </c>
      <c r="F2322" s="140">
        <v>5.9300597657326648</v>
      </c>
    </row>
    <row r="2323" spans="1:6">
      <c r="A2323" s="149" t="s">
        <v>2962</v>
      </c>
      <c r="B2323" s="144" t="s">
        <v>2379</v>
      </c>
      <c r="C2323" s="44">
        <v>13580</v>
      </c>
      <c r="D2323" s="153">
        <f t="shared" si="36"/>
        <v>0.84875</v>
      </c>
      <c r="E2323" s="43">
        <v>24154.680008338546</v>
      </c>
      <c r="F2323" s="140">
        <v>5.9300597657326648</v>
      </c>
    </row>
    <row r="2324" spans="1:6">
      <c r="A2324" s="149" t="s">
        <v>2962</v>
      </c>
      <c r="B2324" s="144" t="s">
        <v>2380</v>
      </c>
      <c r="C2324" s="44">
        <v>13580</v>
      </c>
      <c r="D2324" s="153">
        <f t="shared" si="36"/>
        <v>0.84875</v>
      </c>
      <c r="E2324" s="43">
        <v>24154.680008338546</v>
      </c>
      <c r="F2324" s="140">
        <v>5.9300597657326648</v>
      </c>
    </row>
    <row r="2325" spans="1:6">
      <c r="A2325" s="149" t="s">
        <v>2962</v>
      </c>
      <c r="B2325" s="144" t="s">
        <v>2381</v>
      </c>
      <c r="C2325" s="44">
        <v>13579</v>
      </c>
      <c r="D2325" s="153">
        <f t="shared" si="36"/>
        <v>0.84868750000000004</v>
      </c>
      <c r="E2325" s="43">
        <v>24152.90009901506</v>
      </c>
      <c r="F2325" s="140">
        <v>5.931558722833131</v>
      </c>
    </row>
    <row r="2326" spans="1:6">
      <c r="A2326" s="149" t="s">
        <v>2962</v>
      </c>
      <c r="B2326" s="144" t="s">
        <v>2382</v>
      </c>
      <c r="C2326" s="44">
        <v>13579</v>
      </c>
      <c r="D2326" s="153">
        <f t="shared" si="36"/>
        <v>0.84868750000000004</v>
      </c>
      <c r="E2326" s="43">
        <v>24152.90009901506</v>
      </c>
      <c r="F2326" s="140">
        <v>5.931558722833131</v>
      </c>
    </row>
    <row r="2327" spans="1:6">
      <c r="A2327" s="149" t="s">
        <v>2962</v>
      </c>
      <c r="B2327" s="144" t="s">
        <v>2383</v>
      </c>
      <c r="C2327" s="44">
        <v>13578</v>
      </c>
      <c r="D2327" s="153">
        <f t="shared" si="36"/>
        <v>0.84862499999999996</v>
      </c>
      <c r="E2327" s="43">
        <v>24151.120375195413</v>
      </c>
      <c r="F2327" s="140">
        <v>5.9330576480573427</v>
      </c>
    </row>
    <row r="2328" spans="1:6">
      <c r="A2328" s="149" t="s">
        <v>2962</v>
      </c>
      <c r="B2328" s="144" t="s">
        <v>2384</v>
      </c>
      <c r="C2328" s="44">
        <v>13578</v>
      </c>
      <c r="D2328" s="153">
        <f t="shared" si="36"/>
        <v>0.84862499999999996</v>
      </c>
      <c r="E2328" s="43">
        <v>24151.120375195413</v>
      </c>
      <c r="F2328" s="140">
        <v>5.9330576480573427</v>
      </c>
    </row>
    <row r="2329" spans="1:6">
      <c r="A2329" s="149" t="s">
        <v>2962</v>
      </c>
      <c r="B2329" s="144" t="s">
        <v>2385</v>
      </c>
      <c r="C2329" s="44">
        <v>13578</v>
      </c>
      <c r="D2329" s="153">
        <f t="shared" si="36"/>
        <v>0.84862499999999996</v>
      </c>
      <c r="E2329" s="43">
        <v>24151.120375195413</v>
      </c>
      <c r="F2329" s="140">
        <v>5.9330576480573427</v>
      </c>
    </row>
    <row r="2330" spans="1:6">
      <c r="A2330" s="149" t="s">
        <v>2962</v>
      </c>
      <c r="B2330" s="144" t="s">
        <v>2386</v>
      </c>
      <c r="C2330" s="44">
        <v>13577</v>
      </c>
      <c r="D2330" s="153">
        <f t="shared" si="36"/>
        <v>0.8485625</v>
      </c>
      <c r="E2330" s="43">
        <v>24149.340836850606</v>
      </c>
      <c r="F2330" s="140">
        <v>5.9345565414104158</v>
      </c>
    </row>
    <row r="2331" spans="1:6">
      <c r="A2331" s="149" t="s">
        <v>2962</v>
      </c>
      <c r="B2331" s="144" t="s">
        <v>2387</v>
      </c>
      <c r="C2331" s="44">
        <v>13577</v>
      </c>
      <c r="D2331" s="153">
        <f t="shared" si="36"/>
        <v>0.8485625</v>
      </c>
      <c r="E2331" s="43">
        <v>24149.340836850606</v>
      </c>
      <c r="F2331" s="140">
        <v>5.9345565414104158</v>
      </c>
    </row>
    <row r="2332" spans="1:6">
      <c r="A2332" s="149" t="s">
        <v>2962</v>
      </c>
      <c r="B2332" s="144" t="s">
        <v>2388</v>
      </c>
      <c r="C2332" s="44">
        <v>13576</v>
      </c>
      <c r="D2332" s="153">
        <f t="shared" si="36"/>
        <v>0.84850000000000003</v>
      </c>
      <c r="E2332" s="43">
        <v>24147.561483951646</v>
      </c>
      <c r="F2332" s="140">
        <v>5.9360554028974093</v>
      </c>
    </row>
    <row r="2333" spans="1:6">
      <c r="A2333" s="149" t="s">
        <v>2962</v>
      </c>
      <c r="B2333" s="144" t="s">
        <v>2389</v>
      </c>
      <c r="C2333" s="44">
        <v>13576</v>
      </c>
      <c r="D2333" s="153">
        <f t="shared" si="36"/>
        <v>0.84850000000000003</v>
      </c>
      <c r="E2333" s="43">
        <v>24147.561483951646</v>
      </c>
      <c r="F2333" s="140">
        <v>5.9360554028974093</v>
      </c>
    </row>
    <row r="2334" spans="1:6">
      <c r="A2334" s="149" t="s">
        <v>2962</v>
      </c>
      <c r="B2334" s="144" t="s">
        <v>2390</v>
      </c>
      <c r="C2334" s="44">
        <v>13576</v>
      </c>
      <c r="D2334" s="153">
        <f t="shared" si="36"/>
        <v>0.84850000000000003</v>
      </c>
      <c r="E2334" s="43">
        <v>24147.561483951646</v>
      </c>
      <c r="F2334" s="140">
        <v>5.9360554028974093</v>
      </c>
    </row>
    <row r="2335" spans="1:6">
      <c r="A2335" s="149" t="s">
        <v>2962</v>
      </c>
      <c r="B2335" s="144" t="s">
        <v>2391</v>
      </c>
      <c r="C2335" s="44">
        <v>13575</v>
      </c>
      <c r="D2335" s="153">
        <f t="shared" si="36"/>
        <v>0.84843750000000007</v>
      </c>
      <c r="E2335" s="43">
        <v>24145.782316469547</v>
      </c>
      <c r="F2335" s="140">
        <v>5.937554232523496</v>
      </c>
    </row>
    <row r="2336" spans="1:6">
      <c r="A2336" s="149" t="s">
        <v>2962</v>
      </c>
      <c r="B2336" s="144" t="s">
        <v>2392</v>
      </c>
      <c r="C2336" s="44">
        <v>13575</v>
      </c>
      <c r="D2336" s="153">
        <f t="shared" si="36"/>
        <v>0.84843750000000007</v>
      </c>
      <c r="E2336" s="43">
        <v>24145.782316469547</v>
      </c>
      <c r="F2336" s="140">
        <v>5.937554232523496</v>
      </c>
    </row>
    <row r="2337" spans="1:6">
      <c r="A2337" s="149" t="s">
        <v>2962</v>
      </c>
      <c r="B2337" s="144" t="s">
        <v>2393</v>
      </c>
      <c r="C2337" s="44">
        <v>13575</v>
      </c>
      <c r="D2337" s="153">
        <f t="shared" si="36"/>
        <v>0.84843750000000007</v>
      </c>
      <c r="E2337" s="43">
        <v>24145.782316469547</v>
      </c>
      <c r="F2337" s="140">
        <v>5.937554232523496</v>
      </c>
    </row>
    <row r="2338" spans="1:6">
      <c r="A2338" s="149" t="s">
        <v>2962</v>
      </c>
      <c r="B2338" s="144" t="s">
        <v>2394</v>
      </c>
      <c r="C2338" s="44">
        <v>13574</v>
      </c>
      <c r="D2338" s="153">
        <f t="shared" si="36"/>
        <v>0.84837499999999999</v>
      </c>
      <c r="E2338" s="43">
        <v>24144.003334375324</v>
      </c>
      <c r="F2338" s="140">
        <v>5.9390530302936781</v>
      </c>
    </row>
    <row r="2339" spans="1:6">
      <c r="A2339" s="149" t="s">
        <v>2962</v>
      </c>
      <c r="B2339" s="144" t="s">
        <v>2395</v>
      </c>
      <c r="C2339" s="44">
        <v>13574</v>
      </c>
      <c r="D2339" s="153">
        <f t="shared" si="36"/>
        <v>0.84837499999999999</v>
      </c>
      <c r="E2339" s="43">
        <v>24144.003334375324</v>
      </c>
      <c r="F2339" s="140">
        <v>5.9390530302936781</v>
      </c>
    </row>
    <row r="2340" spans="1:6">
      <c r="A2340" s="149" t="s">
        <v>2962</v>
      </c>
      <c r="B2340" s="144" t="s">
        <v>2396</v>
      </c>
      <c r="C2340" s="44">
        <v>13574</v>
      </c>
      <c r="D2340" s="153">
        <f t="shared" si="36"/>
        <v>0.84837499999999999</v>
      </c>
      <c r="E2340" s="43">
        <v>24144.003334375324</v>
      </c>
      <c r="F2340" s="140">
        <v>5.9390530302936781</v>
      </c>
    </row>
    <row r="2341" spans="1:6">
      <c r="A2341" s="149" t="s">
        <v>2962</v>
      </c>
      <c r="B2341" s="144" t="s">
        <v>2397</v>
      </c>
      <c r="C2341" s="44">
        <v>13574</v>
      </c>
      <c r="D2341" s="153">
        <f t="shared" si="36"/>
        <v>0.84837499999999999</v>
      </c>
      <c r="E2341" s="43">
        <v>24144.003334375324</v>
      </c>
      <c r="F2341" s="140">
        <v>5.9390530302936781</v>
      </c>
    </row>
    <row r="2342" spans="1:6">
      <c r="A2342" s="149" t="s">
        <v>2962</v>
      </c>
      <c r="B2342" s="144" t="s">
        <v>2398</v>
      </c>
      <c r="C2342" s="44">
        <v>13573</v>
      </c>
      <c r="D2342" s="153">
        <f t="shared" si="36"/>
        <v>0.84831250000000002</v>
      </c>
      <c r="E2342" s="43">
        <v>24142.22453764001</v>
      </c>
      <c r="F2342" s="140">
        <v>5.9405517962130148</v>
      </c>
    </row>
    <row r="2343" spans="1:6">
      <c r="A2343" s="149" t="s">
        <v>2962</v>
      </c>
      <c r="B2343" s="144" t="s">
        <v>2399</v>
      </c>
      <c r="C2343" s="44">
        <v>13573</v>
      </c>
      <c r="D2343" s="153">
        <f t="shared" si="36"/>
        <v>0.84831250000000002</v>
      </c>
      <c r="E2343" s="43">
        <v>24142.22453764001</v>
      </c>
      <c r="F2343" s="140">
        <v>5.9405517962130148</v>
      </c>
    </row>
    <row r="2344" spans="1:6">
      <c r="A2344" s="149" t="s">
        <v>2962</v>
      </c>
      <c r="B2344" s="144" t="s">
        <v>2400</v>
      </c>
      <c r="C2344" s="44">
        <v>13573</v>
      </c>
      <c r="D2344" s="153">
        <f t="shared" si="36"/>
        <v>0.84831250000000002</v>
      </c>
      <c r="E2344" s="43">
        <v>24142.22453764001</v>
      </c>
      <c r="F2344" s="140">
        <v>5.9405517962130148</v>
      </c>
    </row>
    <row r="2345" spans="1:6">
      <c r="A2345" s="149" t="s">
        <v>2962</v>
      </c>
      <c r="B2345" s="144" t="s">
        <v>2401</v>
      </c>
      <c r="C2345" s="44">
        <v>13573</v>
      </c>
      <c r="D2345" s="153">
        <f t="shared" si="36"/>
        <v>0.84831250000000002</v>
      </c>
      <c r="E2345" s="43">
        <v>24142.22453764001</v>
      </c>
      <c r="F2345" s="140">
        <v>5.9405517962130148</v>
      </c>
    </row>
    <row r="2346" spans="1:6">
      <c r="A2346" s="149" t="s">
        <v>2962</v>
      </c>
      <c r="B2346" s="144" t="s">
        <v>2402</v>
      </c>
      <c r="C2346" s="44">
        <v>13572</v>
      </c>
      <c r="D2346" s="153">
        <f t="shared" si="36"/>
        <v>0.84825000000000006</v>
      </c>
      <c r="E2346" s="43">
        <v>24140.445926234632</v>
      </c>
      <c r="F2346" s="140">
        <v>5.9420505302867923</v>
      </c>
    </row>
    <row r="2347" spans="1:6">
      <c r="A2347" s="149" t="s">
        <v>2962</v>
      </c>
      <c r="B2347" s="144" t="s">
        <v>2403</v>
      </c>
      <c r="C2347" s="44">
        <v>13572</v>
      </c>
      <c r="D2347" s="153">
        <f t="shared" si="36"/>
        <v>0.84825000000000006</v>
      </c>
      <c r="E2347" s="43">
        <v>24140.445926234632</v>
      </c>
      <c r="F2347" s="140">
        <v>5.9420505302867923</v>
      </c>
    </row>
    <row r="2348" spans="1:6">
      <c r="A2348" s="149" t="s">
        <v>2962</v>
      </c>
      <c r="B2348" s="144" t="s">
        <v>2404</v>
      </c>
      <c r="C2348" s="44">
        <v>13572</v>
      </c>
      <c r="D2348" s="153">
        <f t="shared" si="36"/>
        <v>0.84825000000000006</v>
      </c>
      <c r="E2348" s="43">
        <v>24140.445926234632</v>
      </c>
      <c r="F2348" s="140">
        <v>5.9420505302867923</v>
      </c>
    </row>
    <row r="2349" spans="1:6">
      <c r="A2349" s="149" t="s">
        <v>2962</v>
      </c>
      <c r="B2349" s="144" t="s">
        <v>2405</v>
      </c>
      <c r="C2349" s="44">
        <v>13572</v>
      </c>
      <c r="D2349" s="153">
        <f t="shared" si="36"/>
        <v>0.84825000000000006</v>
      </c>
      <c r="E2349" s="43">
        <v>24140.445926234632</v>
      </c>
      <c r="F2349" s="140">
        <v>5.9420505302867923</v>
      </c>
    </row>
    <row r="2350" spans="1:6">
      <c r="A2350" s="149" t="s">
        <v>2962</v>
      </c>
      <c r="B2350" s="144" t="s">
        <v>2406</v>
      </c>
      <c r="C2350" s="44">
        <v>13571</v>
      </c>
      <c r="D2350" s="153">
        <f t="shared" si="36"/>
        <v>0.84818749999999998</v>
      </c>
      <c r="E2350" s="43">
        <v>24138.667500130228</v>
      </c>
      <c r="F2350" s="140">
        <v>5.9435492325199561</v>
      </c>
    </row>
    <row r="2351" spans="1:6">
      <c r="A2351" s="149" t="s">
        <v>2962</v>
      </c>
      <c r="B2351" s="145" t="s">
        <v>2407</v>
      </c>
      <c r="C2351" s="142">
        <v>13571</v>
      </c>
      <c r="D2351" s="153">
        <f t="shared" si="36"/>
        <v>0.84818749999999998</v>
      </c>
      <c r="E2351" s="143">
        <v>24138.667500130228</v>
      </c>
      <c r="F2351" s="141">
        <v>5.9435492325199561</v>
      </c>
    </row>
    <row r="2352" spans="1:6">
      <c r="A2352" s="149" t="s">
        <v>2962</v>
      </c>
      <c r="B2352" s="144" t="s">
        <v>2408</v>
      </c>
      <c r="C2352" s="44">
        <v>13571</v>
      </c>
      <c r="D2352" s="153">
        <f t="shared" si="36"/>
        <v>0.84818749999999998</v>
      </c>
      <c r="E2352" s="43">
        <v>24138.667500130228</v>
      </c>
      <c r="F2352" s="140">
        <v>5.9435492325199561</v>
      </c>
    </row>
    <row r="2353" spans="1:6">
      <c r="A2353" s="149" t="s">
        <v>2962</v>
      </c>
      <c r="B2353" s="144" t="s">
        <v>2409</v>
      </c>
      <c r="C2353" s="44">
        <v>13571</v>
      </c>
      <c r="D2353" s="153">
        <f t="shared" si="36"/>
        <v>0.84818749999999998</v>
      </c>
      <c r="E2353" s="43">
        <v>24138.667500130228</v>
      </c>
      <c r="F2353" s="140">
        <v>5.9435492325199561</v>
      </c>
    </row>
    <row r="2354" spans="1:6">
      <c r="A2354" s="149" t="s">
        <v>2962</v>
      </c>
      <c r="B2354" s="144" t="s">
        <v>2410</v>
      </c>
      <c r="C2354" s="44">
        <v>13571</v>
      </c>
      <c r="D2354" s="153">
        <f t="shared" si="36"/>
        <v>0.84818749999999998</v>
      </c>
      <c r="E2354" s="43">
        <v>24138.667500130228</v>
      </c>
      <c r="F2354" s="140">
        <v>5.9435492325199561</v>
      </c>
    </row>
    <row r="2355" spans="1:6">
      <c r="A2355" s="149" t="s">
        <v>2962</v>
      </c>
      <c r="B2355" s="144" t="s">
        <v>2411</v>
      </c>
      <c r="C2355" s="44">
        <v>13570</v>
      </c>
      <c r="D2355" s="153">
        <f t="shared" si="36"/>
        <v>0.84812500000000002</v>
      </c>
      <c r="E2355" s="43">
        <v>24136.889259297845</v>
      </c>
      <c r="F2355" s="140">
        <v>5.9450479029175654</v>
      </c>
    </row>
    <row r="2356" spans="1:6">
      <c r="A2356" s="149" t="s">
        <v>2962</v>
      </c>
      <c r="B2356" s="144" t="s">
        <v>2412</v>
      </c>
      <c r="C2356" s="44">
        <v>13570</v>
      </c>
      <c r="D2356" s="153">
        <f t="shared" si="36"/>
        <v>0.84812500000000002</v>
      </c>
      <c r="E2356" s="43">
        <v>24136.889259297845</v>
      </c>
      <c r="F2356" s="140">
        <v>5.9450479029175654</v>
      </c>
    </row>
    <row r="2357" spans="1:6">
      <c r="A2357" s="149" t="s">
        <v>2962</v>
      </c>
      <c r="B2357" s="144" t="s">
        <v>2413</v>
      </c>
      <c r="C2357" s="44">
        <v>13570</v>
      </c>
      <c r="D2357" s="153">
        <f t="shared" si="36"/>
        <v>0.84812500000000002</v>
      </c>
      <c r="E2357" s="43">
        <v>24136.889259297845</v>
      </c>
      <c r="F2357" s="140">
        <v>5.9450479029175654</v>
      </c>
    </row>
    <row r="2358" spans="1:6">
      <c r="A2358" s="149" t="s">
        <v>2962</v>
      </c>
      <c r="B2358" s="144" t="s">
        <v>2414</v>
      </c>
      <c r="C2358" s="44">
        <v>13570</v>
      </c>
      <c r="D2358" s="153">
        <f t="shared" si="36"/>
        <v>0.84812500000000002</v>
      </c>
      <c r="E2358" s="43">
        <v>24136.889259297845</v>
      </c>
      <c r="F2358" s="140">
        <v>5.9450479029175654</v>
      </c>
    </row>
    <row r="2359" spans="1:6">
      <c r="A2359" s="149" t="s">
        <v>2962</v>
      </c>
      <c r="B2359" s="144" t="s">
        <v>2415</v>
      </c>
      <c r="C2359" s="44">
        <v>13570</v>
      </c>
      <c r="D2359" s="153">
        <f t="shared" si="36"/>
        <v>0.84812500000000002</v>
      </c>
      <c r="E2359" s="43">
        <v>24136.889259297845</v>
      </c>
      <c r="F2359" s="140">
        <v>5.9450479029175654</v>
      </c>
    </row>
    <row r="2360" spans="1:6">
      <c r="A2360" s="149" t="s">
        <v>2962</v>
      </c>
      <c r="B2360" s="144" t="s">
        <v>2416</v>
      </c>
      <c r="C2360" s="44">
        <v>13569</v>
      </c>
      <c r="D2360" s="153">
        <f t="shared" si="36"/>
        <v>0.84806250000000005</v>
      </c>
      <c r="E2360" s="43">
        <v>24135.111203708526</v>
      </c>
      <c r="F2360" s="140">
        <v>5.9465465414848495</v>
      </c>
    </row>
    <row r="2361" spans="1:6">
      <c r="A2361" s="149" t="s">
        <v>2962</v>
      </c>
      <c r="B2361" s="144" t="s">
        <v>2417</v>
      </c>
      <c r="C2361" s="44">
        <v>13569</v>
      </c>
      <c r="D2361" s="153">
        <f t="shared" si="36"/>
        <v>0.84806250000000005</v>
      </c>
      <c r="E2361" s="43">
        <v>24135.111203708526</v>
      </c>
      <c r="F2361" s="140">
        <v>5.9465465414848495</v>
      </c>
    </row>
    <row r="2362" spans="1:6">
      <c r="A2362" s="149" t="s">
        <v>2962</v>
      </c>
      <c r="B2362" s="144" t="s">
        <v>2418</v>
      </c>
      <c r="C2362" s="44">
        <v>13569</v>
      </c>
      <c r="D2362" s="153">
        <f t="shared" si="36"/>
        <v>0.84806250000000005</v>
      </c>
      <c r="E2362" s="43">
        <v>24135.111203708526</v>
      </c>
      <c r="F2362" s="140">
        <v>5.9465465414848495</v>
      </c>
    </row>
    <row r="2363" spans="1:6">
      <c r="A2363" s="149" t="s">
        <v>2962</v>
      </c>
      <c r="B2363" s="144" t="s">
        <v>2419</v>
      </c>
      <c r="C2363" s="44">
        <v>13569</v>
      </c>
      <c r="D2363" s="153">
        <f t="shared" si="36"/>
        <v>0.84806250000000005</v>
      </c>
      <c r="E2363" s="43">
        <v>24135.111203708526</v>
      </c>
      <c r="F2363" s="140">
        <v>5.9465465414848495</v>
      </c>
    </row>
    <row r="2364" spans="1:6">
      <c r="A2364" s="149" t="s">
        <v>2962</v>
      </c>
      <c r="B2364" s="144" t="s">
        <v>2420</v>
      </c>
      <c r="C2364" s="44">
        <v>13569</v>
      </c>
      <c r="D2364" s="153">
        <f t="shared" si="36"/>
        <v>0.84806250000000005</v>
      </c>
      <c r="E2364" s="43">
        <v>24135.111203708526</v>
      </c>
      <c r="F2364" s="140">
        <v>5.9465465414848495</v>
      </c>
    </row>
    <row r="2365" spans="1:6">
      <c r="A2365" s="149" t="s">
        <v>2962</v>
      </c>
      <c r="B2365" s="144" t="s">
        <v>2421</v>
      </c>
      <c r="C2365" s="44">
        <v>13569</v>
      </c>
      <c r="D2365" s="153">
        <f t="shared" si="36"/>
        <v>0.84806250000000005</v>
      </c>
      <c r="E2365" s="43">
        <v>24135.111203708526</v>
      </c>
      <c r="F2365" s="140">
        <v>5.9465465414848495</v>
      </c>
    </row>
    <row r="2366" spans="1:6">
      <c r="A2366" s="149" t="s">
        <v>2962</v>
      </c>
      <c r="B2366" s="144" t="s">
        <v>2422</v>
      </c>
      <c r="C2366" s="44">
        <v>13568</v>
      </c>
      <c r="D2366" s="153">
        <f t="shared" si="36"/>
        <v>0.84799999999999998</v>
      </c>
      <c r="E2366" s="43">
        <v>24133.333333333332</v>
      </c>
      <c r="F2366" s="140">
        <v>5.948045148226754</v>
      </c>
    </row>
    <row r="2367" spans="1:6">
      <c r="A2367" s="149" t="s">
        <v>2962</v>
      </c>
      <c r="B2367" s="144" t="s">
        <v>2423</v>
      </c>
      <c r="C2367" s="44">
        <v>13568</v>
      </c>
      <c r="D2367" s="153">
        <f t="shared" si="36"/>
        <v>0.84799999999999998</v>
      </c>
      <c r="E2367" s="43">
        <v>24133.333333333332</v>
      </c>
      <c r="F2367" s="140">
        <v>5.948045148226754</v>
      </c>
    </row>
    <row r="2368" spans="1:6">
      <c r="A2368" s="149" t="s">
        <v>2962</v>
      </c>
      <c r="B2368" s="144" t="s">
        <v>2424</v>
      </c>
      <c r="C2368" s="44">
        <v>13568</v>
      </c>
      <c r="D2368" s="153">
        <f t="shared" si="36"/>
        <v>0.84799999999999998</v>
      </c>
      <c r="E2368" s="43">
        <v>24133.333333333332</v>
      </c>
      <c r="F2368" s="140">
        <v>5.948045148226754</v>
      </c>
    </row>
    <row r="2369" spans="1:6">
      <c r="A2369" s="149" t="s">
        <v>2962</v>
      </c>
      <c r="B2369" s="144" t="s">
        <v>2425</v>
      </c>
      <c r="C2369" s="44">
        <v>13568</v>
      </c>
      <c r="D2369" s="153">
        <f t="shared" si="36"/>
        <v>0.84799999999999998</v>
      </c>
      <c r="E2369" s="43">
        <v>24133.333333333332</v>
      </c>
      <c r="F2369" s="140">
        <v>5.948045148226754</v>
      </c>
    </row>
    <row r="2370" spans="1:6">
      <c r="A2370" s="149" t="s">
        <v>2962</v>
      </c>
      <c r="B2370" s="144" t="s">
        <v>2426</v>
      </c>
      <c r="C2370" s="44">
        <v>13568</v>
      </c>
      <c r="D2370" s="153">
        <f t="shared" si="36"/>
        <v>0.84799999999999998</v>
      </c>
      <c r="E2370" s="43">
        <v>24133.333333333332</v>
      </c>
      <c r="F2370" s="140">
        <v>5.948045148226754</v>
      </c>
    </row>
    <row r="2371" spans="1:6">
      <c r="A2371" s="149" t="s">
        <v>2962</v>
      </c>
      <c r="B2371" s="144" t="s">
        <v>2427</v>
      </c>
      <c r="C2371" s="44">
        <v>13568</v>
      </c>
      <c r="D2371" s="153">
        <f t="shared" si="36"/>
        <v>0.84799999999999998</v>
      </c>
      <c r="E2371" s="43">
        <v>24133.333333333332</v>
      </c>
      <c r="F2371" s="140">
        <v>5.948045148226754</v>
      </c>
    </row>
    <row r="2372" spans="1:6">
      <c r="A2372" s="149" t="s">
        <v>2962</v>
      </c>
      <c r="B2372" s="144" t="s">
        <v>2428</v>
      </c>
      <c r="C2372" s="44">
        <v>13567</v>
      </c>
      <c r="D2372" s="153">
        <f t="shared" si="36"/>
        <v>0.84793750000000001</v>
      </c>
      <c r="E2372" s="43">
        <v>24131.555648143327</v>
      </c>
      <c r="F2372" s="140">
        <v>5.9495437231484516</v>
      </c>
    </row>
    <row r="2373" spans="1:6">
      <c r="A2373" s="149" t="s">
        <v>2962</v>
      </c>
      <c r="B2373" s="144" t="s">
        <v>2429</v>
      </c>
      <c r="C2373" s="44">
        <v>13567</v>
      </c>
      <c r="D2373" s="153">
        <f t="shared" si="36"/>
        <v>0.84793750000000001</v>
      </c>
      <c r="E2373" s="43">
        <v>24131.555648143327</v>
      </c>
      <c r="F2373" s="140">
        <v>5.9495437231484516</v>
      </c>
    </row>
    <row r="2374" spans="1:6">
      <c r="A2374" s="149" t="s">
        <v>2962</v>
      </c>
      <c r="B2374" s="144" t="s">
        <v>2430</v>
      </c>
      <c r="C2374" s="44">
        <v>13567</v>
      </c>
      <c r="D2374" s="153">
        <f t="shared" si="36"/>
        <v>0.84793750000000001</v>
      </c>
      <c r="E2374" s="43">
        <v>24131.555648143327</v>
      </c>
      <c r="F2374" s="140">
        <v>5.9495437231484516</v>
      </c>
    </row>
    <row r="2375" spans="1:6">
      <c r="A2375" s="149" t="s">
        <v>2962</v>
      </c>
      <c r="B2375" s="144" t="s">
        <v>2431</v>
      </c>
      <c r="C2375" s="44">
        <v>13567</v>
      </c>
      <c r="D2375" s="153">
        <f t="shared" ref="D2375:D2438" si="37">C2375/32768*4.096/2</f>
        <v>0.84793750000000001</v>
      </c>
      <c r="E2375" s="43">
        <v>24131.555648143327</v>
      </c>
      <c r="F2375" s="140">
        <v>5.9495437231484516</v>
      </c>
    </row>
    <row r="2376" spans="1:6">
      <c r="A2376" s="149" t="s">
        <v>2962</v>
      </c>
      <c r="B2376" s="144" t="s">
        <v>2432</v>
      </c>
      <c r="C2376" s="44">
        <v>13567</v>
      </c>
      <c r="D2376" s="153">
        <f t="shared" si="37"/>
        <v>0.84793750000000001</v>
      </c>
      <c r="E2376" s="43">
        <v>24131.555648143327</v>
      </c>
      <c r="F2376" s="140">
        <v>5.9495437231484516</v>
      </c>
    </row>
    <row r="2377" spans="1:6">
      <c r="A2377" s="149" t="s">
        <v>2962</v>
      </c>
      <c r="B2377" s="144" t="s">
        <v>2433</v>
      </c>
      <c r="C2377" s="44">
        <v>13567</v>
      </c>
      <c r="D2377" s="153">
        <f t="shared" si="37"/>
        <v>0.84793750000000001</v>
      </c>
      <c r="E2377" s="43">
        <v>24131.555648143327</v>
      </c>
      <c r="F2377" s="140">
        <v>5.9495437231484516</v>
      </c>
    </row>
    <row r="2378" spans="1:6">
      <c r="A2378" s="149" t="s">
        <v>2962</v>
      </c>
      <c r="B2378" s="144" t="s">
        <v>2434</v>
      </c>
      <c r="C2378" s="44">
        <v>13567</v>
      </c>
      <c r="D2378" s="153">
        <f t="shared" si="37"/>
        <v>0.84793750000000001</v>
      </c>
      <c r="E2378" s="43">
        <v>24131.555648143327</v>
      </c>
      <c r="F2378" s="140">
        <v>5.9495437231484516</v>
      </c>
    </row>
    <row r="2379" spans="1:6">
      <c r="A2379" s="149" t="s">
        <v>2962</v>
      </c>
      <c r="B2379" s="144" t="s">
        <v>2435</v>
      </c>
      <c r="C2379" s="44">
        <v>13567</v>
      </c>
      <c r="D2379" s="153">
        <f t="shared" si="37"/>
        <v>0.84793750000000001</v>
      </c>
      <c r="E2379" s="43">
        <v>24131.555648143327</v>
      </c>
      <c r="F2379" s="140">
        <v>5.9495437231484516</v>
      </c>
    </row>
    <row r="2380" spans="1:6">
      <c r="A2380" s="149" t="s">
        <v>2962</v>
      </c>
      <c r="B2380" s="144" t="s">
        <v>2436</v>
      </c>
      <c r="C2380" s="44">
        <v>13566</v>
      </c>
      <c r="D2380" s="153">
        <f t="shared" si="37"/>
        <v>0.84787500000000005</v>
      </c>
      <c r="E2380" s="43">
        <v>24129.778148109574</v>
      </c>
      <c r="F2380" s="140">
        <v>5.951042266255115</v>
      </c>
    </row>
    <row r="2381" spans="1:6">
      <c r="A2381" s="149" t="s">
        <v>2962</v>
      </c>
      <c r="B2381" s="144" t="s">
        <v>2437</v>
      </c>
      <c r="C2381" s="44">
        <v>13566</v>
      </c>
      <c r="D2381" s="153">
        <f t="shared" si="37"/>
        <v>0.84787500000000005</v>
      </c>
      <c r="E2381" s="43">
        <v>24129.778148109574</v>
      </c>
      <c r="F2381" s="140">
        <v>5.951042266255115</v>
      </c>
    </row>
    <row r="2382" spans="1:6">
      <c r="A2382" s="149" t="s">
        <v>2962</v>
      </c>
      <c r="B2382" s="144" t="s">
        <v>2438</v>
      </c>
      <c r="C2382" s="44">
        <v>13566</v>
      </c>
      <c r="D2382" s="153">
        <f t="shared" si="37"/>
        <v>0.84787500000000005</v>
      </c>
      <c r="E2382" s="43">
        <v>24129.778148109574</v>
      </c>
      <c r="F2382" s="140">
        <v>5.951042266255115</v>
      </c>
    </row>
    <row r="2383" spans="1:6">
      <c r="A2383" s="149" t="s">
        <v>2962</v>
      </c>
      <c r="B2383" s="144" t="s">
        <v>2439</v>
      </c>
      <c r="C2383" s="44">
        <v>13566</v>
      </c>
      <c r="D2383" s="153">
        <f t="shared" si="37"/>
        <v>0.84787500000000005</v>
      </c>
      <c r="E2383" s="43">
        <v>24129.778148109574</v>
      </c>
      <c r="F2383" s="140">
        <v>5.951042266255115</v>
      </c>
    </row>
    <row r="2384" spans="1:6">
      <c r="A2384" s="149" t="s">
        <v>2962</v>
      </c>
      <c r="B2384" s="144" t="s">
        <v>2440</v>
      </c>
      <c r="C2384" s="44">
        <v>13566</v>
      </c>
      <c r="D2384" s="153">
        <f t="shared" si="37"/>
        <v>0.84787500000000005</v>
      </c>
      <c r="E2384" s="43">
        <v>24129.778148109574</v>
      </c>
      <c r="F2384" s="140">
        <v>5.951042266255115</v>
      </c>
    </row>
    <row r="2385" spans="1:6">
      <c r="A2385" s="149" t="s">
        <v>2962</v>
      </c>
      <c r="B2385" s="144" t="s">
        <v>2441</v>
      </c>
      <c r="C2385" s="44">
        <v>13566</v>
      </c>
      <c r="D2385" s="153">
        <f t="shared" si="37"/>
        <v>0.84787500000000005</v>
      </c>
      <c r="E2385" s="43">
        <v>24129.778148109574</v>
      </c>
      <c r="F2385" s="140">
        <v>5.951042266255115</v>
      </c>
    </row>
    <row r="2386" spans="1:6">
      <c r="A2386" s="149" t="s">
        <v>2962</v>
      </c>
      <c r="B2386" s="144" t="s">
        <v>2442</v>
      </c>
      <c r="C2386" s="44">
        <v>13566</v>
      </c>
      <c r="D2386" s="153">
        <f t="shared" si="37"/>
        <v>0.84787500000000005</v>
      </c>
      <c r="E2386" s="43">
        <v>24129.778148109574</v>
      </c>
      <c r="F2386" s="140">
        <v>5.951042266255115</v>
      </c>
    </row>
    <row r="2387" spans="1:6">
      <c r="A2387" s="149" t="s">
        <v>2962</v>
      </c>
      <c r="B2387" s="144" t="s">
        <v>2443</v>
      </c>
      <c r="C2387" s="44">
        <v>13566</v>
      </c>
      <c r="D2387" s="153">
        <f t="shared" si="37"/>
        <v>0.84787500000000005</v>
      </c>
      <c r="E2387" s="43">
        <v>24129.778148109574</v>
      </c>
      <c r="F2387" s="140">
        <v>5.951042266255115</v>
      </c>
    </row>
    <row r="2388" spans="1:6">
      <c r="A2388" s="149" t="s">
        <v>2962</v>
      </c>
      <c r="B2388" s="144" t="s">
        <v>2444</v>
      </c>
      <c r="C2388" s="44">
        <v>13566</v>
      </c>
      <c r="D2388" s="153">
        <f t="shared" si="37"/>
        <v>0.84787500000000005</v>
      </c>
      <c r="E2388" s="43">
        <v>24129.778148109574</v>
      </c>
      <c r="F2388" s="140">
        <v>5.951042266255115</v>
      </c>
    </row>
    <row r="2389" spans="1:6">
      <c r="A2389" s="149" t="s">
        <v>2962</v>
      </c>
      <c r="B2389" s="144" t="s">
        <v>2445</v>
      </c>
      <c r="C2389" s="44">
        <v>13566</v>
      </c>
      <c r="D2389" s="153">
        <f t="shared" si="37"/>
        <v>0.84787500000000005</v>
      </c>
      <c r="E2389" s="43">
        <v>24129.778148109574</v>
      </c>
      <c r="F2389" s="140">
        <v>5.951042266255115</v>
      </c>
    </row>
    <row r="2390" spans="1:6">
      <c r="A2390" s="149" t="s">
        <v>2962</v>
      </c>
      <c r="B2390" s="144" t="s">
        <v>2446</v>
      </c>
      <c r="C2390" s="44">
        <v>13565</v>
      </c>
      <c r="D2390" s="153">
        <f t="shared" si="37"/>
        <v>0.84781249999999997</v>
      </c>
      <c r="E2390" s="43">
        <v>24128.000833203147</v>
      </c>
      <c r="F2390" s="140">
        <v>5.9525407775516896</v>
      </c>
    </row>
    <row r="2391" spans="1:6">
      <c r="A2391" s="149" t="s">
        <v>2962</v>
      </c>
      <c r="B2391" s="144" t="s">
        <v>2447</v>
      </c>
      <c r="C2391" s="44">
        <v>13565</v>
      </c>
      <c r="D2391" s="153">
        <f t="shared" si="37"/>
        <v>0.84781249999999997</v>
      </c>
      <c r="E2391" s="43">
        <v>24128.000833203147</v>
      </c>
      <c r="F2391" s="140">
        <v>5.9525407775516896</v>
      </c>
    </row>
    <row r="2392" spans="1:6">
      <c r="A2392" s="149" t="s">
        <v>2962</v>
      </c>
      <c r="B2392" s="144" t="s">
        <v>2448</v>
      </c>
      <c r="C2392" s="44">
        <v>13565</v>
      </c>
      <c r="D2392" s="153">
        <f t="shared" si="37"/>
        <v>0.84781249999999997</v>
      </c>
      <c r="E2392" s="43">
        <v>24128.000833203147</v>
      </c>
      <c r="F2392" s="140">
        <v>5.9525407775516896</v>
      </c>
    </row>
    <row r="2393" spans="1:6">
      <c r="A2393" s="149" t="s">
        <v>2962</v>
      </c>
      <c r="B2393" s="144" t="s">
        <v>2449</v>
      </c>
      <c r="C2393" s="44">
        <v>13565</v>
      </c>
      <c r="D2393" s="153">
        <f t="shared" si="37"/>
        <v>0.84781249999999997</v>
      </c>
      <c r="E2393" s="43">
        <v>24128.000833203147</v>
      </c>
      <c r="F2393" s="140">
        <v>5.9525407775516896</v>
      </c>
    </row>
    <row r="2394" spans="1:6">
      <c r="A2394" s="149" t="s">
        <v>2962</v>
      </c>
      <c r="B2394" s="144" t="s">
        <v>2450</v>
      </c>
      <c r="C2394" s="44">
        <v>13565</v>
      </c>
      <c r="D2394" s="153">
        <f t="shared" si="37"/>
        <v>0.84781249999999997</v>
      </c>
      <c r="E2394" s="43">
        <v>24128.000833203147</v>
      </c>
      <c r="F2394" s="140">
        <v>5.9525407775516896</v>
      </c>
    </row>
    <row r="2395" spans="1:6">
      <c r="A2395" s="149" t="s">
        <v>2962</v>
      </c>
      <c r="B2395" s="144" t="s">
        <v>2451</v>
      </c>
      <c r="C2395" s="44">
        <v>13565</v>
      </c>
      <c r="D2395" s="153">
        <f t="shared" si="37"/>
        <v>0.84781249999999997</v>
      </c>
      <c r="E2395" s="43">
        <v>24128.000833203147</v>
      </c>
      <c r="F2395" s="140">
        <v>5.9525407775516896</v>
      </c>
    </row>
    <row r="2396" spans="1:6">
      <c r="A2396" s="149" t="s">
        <v>2962</v>
      </c>
      <c r="B2396" s="144" t="s">
        <v>2452</v>
      </c>
      <c r="C2396" s="44">
        <v>13565</v>
      </c>
      <c r="D2396" s="153">
        <f t="shared" si="37"/>
        <v>0.84781249999999997</v>
      </c>
      <c r="E2396" s="43">
        <v>24128.000833203147</v>
      </c>
      <c r="F2396" s="140">
        <v>5.9525407775516896</v>
      </c>
    </row>
    <row r="2397" spans="1:6">
      <c r="A2397" s="149" t="s">
        <v>2962</v>
      </c>
      <c r="B2397" s="144" t="s">
        <v>2453</v>
      </c>
      <c r="C2397" s="44">
        <v>13565</v>
      </c>
      <c r="D2397" s="153">
        <f t="shared" si="37"/>
        <v>0.84781249999999997</v>
      </c>
      <c r="E2397" s="43">
        <v>24128.000833203147</v>
      </c>
      <c r="F2397" s="140">
        <v>5.9525407775516896</v>
      </c>
    </row>
    <row r="2398" spans="1:6">
      <c r="A2398" s="149" t="s">
        <v>2962</v>
      </c>
      <c r="B2398" s="144" t="s">
        <v>2454</v>
      </c>
      <c r="C2398" s="44">
        <v>13565</v>
      </c>
      <c r="D2398" s="153">
        <f t="shared" si="37"/>
        <v>0.84781249999999997</v>
      </c>
      <c r="E2398" s="43">
        <v>24128.000833203147</v>
      </c>
      <c r="F2398" s="140">
        <v>5.9525407775516896</v>
      </c>
    </row>
    <row r="2399" spans="1:6">
      <c r="A2399" s="149" t="s">
        <v>2962</v>
      </c>
      <c r="B2399" s="144" t="s">
        <v>2455</v>
      </c>
      <c r="C2399" s="44">
        <v>13565</v>
      </c>
      <c r="D2399" s="153">
        <f t="shared" si="37"/>
        <v>0.84781249999999997</v>
      </c>
      <c r="E2399" s="43">
        <v>24128.000833203147</v>
      </c>
      <c r="F2399" s="140">
        <v>5.9525407775516896</v>
      </c>
    </row>
    <row r="2400" spans="1:6">
      <c r="A2400" s="149" t="s">
        <v>2962</v>
      </c>
      <c r="B2400" s="144" t="s">
        <v>2456</v>
      </c>
      <c r="C2400" s="44">
        <v>13565</v>
      </c>
      <c r="D2400" s="153">
        <f t="shared" si="37"/>
        <v>0.84781249999999997</v>
      </c>
      <c r="E2400" s="43">
        <v>24128.000833203147</v>
      </c>
      <c r="F2400" s="140">
        <v>5.9525407775516896</v>
      </c>
    </row>
    <row r="2401" spans="1:6">
      <c r="A2401" s="149" t="s">
        <v>2962</v>
      </c>
      <c r="B2401" s="144" t="s">
        <v>2457</v>
      </c>
      <c r="C2401" s="44">
        <v>13565</v>
      </c>
      <c r="D2401" s="153">
        <f t="shared" si="37"/>
        <v>0.84781249999999997</v>
      </c>
      <c r="E2401" s="43">
        <v>24128.000833203147</v>
      </c>
      <c r="F2401" s="140">
        <v>5.9525407775516896</v>
      </c>
    </row>
    <row r="2402" spans="1:6">
      <c r="A2402" s="149" t="s">
        <v>2962</v>
      </c>
      <c r="B2402" s="144" t="s">
        <v>2458</v>
      </c>
      <c r="C2402" s="44">
        <v>13565</v>
      </c>
      <c r="D2402" s="153">
        <f t="shared" si="37"/>
        <v>0.84781249999999997</v>
      </c>
      <c r="E2402" s="43">
        <v>24128.000833203147</v>
      </c>
      <c r="F2402" s="140">
        <v>5.9525407775516896</v>
      </c>
    </row>
    <row r="2403" spans="1:6">
      <c r="A2403" s="149" t="s">
        <v>2962</v>
      </c>
      <c r="B2403" s="144" t="s">
        <v>2459</v>
      </c>
      <c r="C2403" s="44">
        <v>13564</v>
      </c>
      <c r="D2403" s="153">
        <f t="shared" si="37"/>
        <v>0.84775</v>
      </c>
      <c r="E2403" s="43">
        <v>24126.223703395128</v>
      </c>
      <c r="F2403" s="140">
        <v>5.9540392570432914</v>
      </c>
    </row>
    <row r="2404" spans="1:6">
      <c r="A2404" s="149" t="s">
        <v>2962</v>
      </c>
      <c r="B2404" s="144" t="s">
        <v>2460</v>
      </c>
      <c r="C2404" s="44">
        <v>13564</v>
      </c>
      <c r="D2404" s="153">
        <f t="shared" si="37"/>
        <v>0.84775</v>
      </c>
      <c r="E2404" s="43">
        <v>24126.223703395128</v>
      </c>
      <c r="F2404" s="140">
        <v>5.9540392570432914</v>
      </c>
    </row>
    <row r="2405" spans="1:6">
      <c r="A2405" s="149" t="s">
        <v>2962</v>
      </c>
      <c r="B2405" s="144" t="s">
        <v>2461</v>
      </c>
      <c r="C2405" s="44">
        <v>13564</v>
      </c>
      <c r="D2405" s="153">
        <f t="shared" si="37"/>
        <v>0.84775</v>
      </c>
      <c r="E2405" s="43">
        <v>24126.223703395128</v>
      </c>
      <c r="F2405" s="140">
        <v>5.9540392570432914</v>
      </c>
    </row>
    <row r="2406" spans="1:6">
      <c r="A2406" s="149" t="s">
        <v>2962</v>
      </c>
      <c r="B2406" s="144" t="s">
        <v>2462</v>
      </c>
      <c r="C2406" s="44">
        <v>13564</v>
      </c>
      <c r="D2406" s="153">
        <f t="shared" si="37"/>
        <v>0.84775</v>
      </c>
      <c r="E2406" s="43">
        <v>24126.223703395128</v>
      </c>
      <c r="F2406" s="140">
        <v>5.9540392570432914</v>
      </c>
    </row>
    <row r="2407" spans="1:6">
      <c r="A2407" s="149" t="s">
        <v>2962</v>
      </c>
      <c r="B2407" s="144" t="s">
        <v>2463</v>
      </c>
      <c r="C2407" s="44">
        <v>13564</v>
      </c>
      <c r="D2407" s="153">
        <f t="shared" si="37"/>
        <v>0.84775</v>
      </c>
      <c r="E2407" s="43">
        <v>24126.223703395128</v>
      </c>
      <c r="F2407" s="140">
        <v>5.9540392570432914</v>
      </c>
    </row>
    <row r="2408" spans="1:6">
      <c r="A2408" s="149" t="s">
        <v>2962</v>
      </c>
      <c r="B2408" s="144" t="s">
        <v>2464</v>
      </c>
      <c r="C2408" s="44">
        <v>13564</v>
      </c>
      <c r="D2408" s="153">
        <f t="shared" si="37"/>
        <v>0.84775</v>
      </c>
      <c r="E2408" s="43">
        <v>24126.223703395128</v>
      </c>
      <c r="F2408" s="140">
        <v>5.9540392570432914</v>
      </c>
    </row>
    <row r="2409" spans="1:6">
      <c r="A2409" s="149" t="s">
        <v>2962</v>
      </c>
      <c r="B2409" s="144" t="s">
        <v>2465</v>
      </c>
      <c r="C2409" s="44">
        <v>13564</v>
      </c>
      <c r="D2409" s="153">
        <f t="shared" si="37"/>
        <v>0.84775</v>
      </c>
      <c r="E2409" s="43">
        <v>24126.223703395128</v>
      </c>
      <c r="F2409" s="140">
        <v>5.9540392570432914</v>
      </c>
    </row>
    <row r="2410" spans="1:6">
      <c r="A2410" s="149" t="s">
        <v>2962</v>
      </c>
      <c r="B2410" s="144" t="s">
        <v>2466</v>
      </c>
      <c r="C2410" s="44">
        <v>13564</v>
      </c>
      <c r="D2410" s="153">
        <f t="shared" si="37"/>
        <v>0.84775</v>
      </c>
      <c r="E2410" s="43">
        <v>24126.223703395128</v>
      </c>
      <c r="F2410" s="140">
        <v>5.9540392570432914</v>
      </c>
    </row>
    <row r="2411" spans="1:6">
      <c r="A2411" s="149" t="s">
        <v>2962</v>
      </c>
      <c r="B2411" s="144" t="s">
        <v>2467</v>
      </c>
      <c r="C2411" s="44">
        <v>13564</v>
      </c>
      <c r="D2411" s="153">
        <f t="shared" si="37"/>
        <v>0.84775</v>
      </c>
      <c r="E2411" s="43">
        <v>24126.223703395128</v>
      </c>
      <c r="F2411" s="140">
        <v>5.9540392570432914</v>
      </c>
    </row>
    <row r="2412" spans="1:6">
      <c r="A2412" s="149" t="s">
        <v>2962</v>
      </c>
      <c r="B2412" s="144" t="s">
        <v>2468</v>
      </c>
      <c r="C2412" s="44">
        <v>13564</v>
      </c>
      <c r="D2412" s="153">
        <f t="shared" si="37"/>
        <v>0.84775</v>
      </c>
      <c r="E2412" s="43">
        <v>24126.223703395128</v>
      </c>
      <c r="F2412" s="140">
        <v>5.9540392570432914</v>
      </c>
    </row>
    <row r="2413" spans="1:6">
      <c r="A2413" s="149" t="s">
        <v>2962</v>
      </c>
      <c r="B2413" s="144" t="s">
        <v>2469</v>
      </c>
      <c r="C2413" s="44">
        <v>13564</v>
      </c>
      <c r="D2413" s="153">
        <f t="shared" si="37"/>
        <v>0.84775</v>
      </c>
      <c r="E2413" s="43">
        <v>24126.223703395128</v>
      </c>
      <c r="F2413" s="140">
        <v>5.9540392570432914</v>
      </c>
    </row>
    <row r="2414" spans="1:6">
      <c r="A2414" s="149" t="s">
        <v>2962</v>
      </c>
      <c r="B2414" s="144" t="s">
        <v>2470</v>
      </c>
      <c r="C2414" s="44">
        <v>13564</v>
      </c>
      <c r="D2414" s="153">
        <f t="shared" si="37"/>
        <v>0.84775</v>
      </c>
      <c r="E2414" s="43">
        <v>24126.223703395128</v>
      </c>
      <c r="F2414" s="140">
        <v>5.9540392570432914</v>
      </c>
    </row>
    <row r="2415" spans="1:6">
      <c r="A2415" s="149" t="s">
        <v>2962</v>
      </c>
      <c r="B2415" s="144" t="s">
        <v>2471</v>
      </c>
      <c r="C2415" s="44">
        <v>13564</v>
      </c>
      <c r="D2415" s="153">
        <f t="shared" si="37"/>
        <v>0.84775</v>
      </c>
      <c r="E2415" s="43">
        <v>24126.223703395128</v>
      </c>
      <c r="F2415" s="140">
        <v>5.9540392570432914</v>
      </c>
    </row>
    <row r="2416" spans="1:6">
      <c r="A2416" s="149" t="s">
        <v>2962</v>
      </c>
      <c r="B2416" s="144" t="s">
        <v>2472</v>
      </c>
      <c r="C2416" s="44">
        <v>13564</v>
      </c>
      <c r="D2416" s="153">
        <f t="shared" si="37"/>
        <v>0.84775</v>
      </c>
      <c r="E2416" s="43">
        <v>24126.223703395128</v>
      </c>
      <c r="F2416" s="140">
        <v>5.9540392570432914</v>
      </c>
    </row>
    <row r="2417" spans="1:6">
      <c r="A2417" s="149" t="s">
        <v>2962</v>
      </c>
      <c r="B2417" s="144" t="s">
        <v>2473</v>
      </c>
      <c r="C2417" s="44">
        <v>13564</v>
      </c>
      <c r="D2417" s="153">
        <f t="shared" si="37"/>
        <v>0.84775</v>
      </c>
      <c r="E2417" s="43">
        <v>24126.223703395128</v>
      </c>
      <c r="F2417" s="140">
        <v>5.9540392570432914</v>
      </c>
    </row>
    <row r="2418" spans="1:6">
      <c r="A2418" s="149" t="s">
        <v>2962</v>
      </c>
      <c r="B2418" s="144" t="s">
        <v>2474</v>
      </c>
      <c r="C2418" s="44">
        <v>13564</v>
      </c>
      <c r="D2418" s="153">
        <f t="shared" si="37"/>
        <v>0.84775</v>
      </c>
      <c r="E2418" s="43">
        <v>24126.223703395128</v>
      </c>
      <c r="F2418" s="140">
        <v>5.9540392570432914</v>
      </c>
    </row>
    <row r="2419" spans="1:6">
      <c r="A2419" s="149" t="s">
        <v>2962</v>
      </c>
      <c r="B2419" s="144" t="s">
        <v>2475</v>
      </c>
      <c r="C2419" s="44">
        <v>13564</v>
      </c>
      <c r="D2419" s="153">
        <f t="shared" si="37"/>
        <v>0.84775</v>
      </c>
      <c r="E2419" s="43">
        <v>24126.223703395128</v>
      </c>
      <c r="F2419" s="140">
        <v>5.9540392570432914</v>
      </c>
    </row>
    <row r="2420" spans="1:6">
      <c r="A2420" s="149" t="s">
        <v>2962</v>
      </c>
      <c r="B2420" s="144" t="s">
        <v>2476</v>
      </c>
      <c r="C2420" s="44">
        <v>13563</v>
      </c>
      <c r="D2420" s="153">
        <f t="shared" si="37"/>
        <v>0.84768750000000004</v>
      </c>
      <c r="E2420" s="43">
        <v>24124.446758656599</v>
      </c>
      <c r="F2420" s="140">
        <v>5.9555377047350362</v>
      </c>
    </row>
    <row r="2421" spans="1:6">
      <c r="A2421" s="149" t="s">
        <v>2962</v>
      </c>
      <c r="B2421" s="144" t="s">
        <v>2477</v>
      </c>
      <c r="C2421" s="44">
        <v>13563</v>
      </c>
      <c r="D2421" s="153">
        <f t="shared" si="37"/>
        <v>0.84768750000000004</v>
      </c>
      <c r="E2421" s="43">
        <v>24124.446758656599</v>
      </c>
      <c r="F2421" s="140">
        <v>5.9555377047350362</v>
      </c>
    </row>
    <row r="2422" spans="1:6">
      <c r="A2422" s="149" t="s">
        <v>2962</v>
      </c>
      <c r="B2422" s="144" t="s">
        <v>2478</v>
      </c>
      <c r="C2422" s="44">
        <v>13563</v>
      </c>
      <c r="D2422" s="153">
        <f t="shared" si="37"/>
        <v>0.84768750000000004</v>
      </c>
      <c r="E2422" s="43">
        <v>24124.446758656599</v>
      </c>
      <c r="F2422" s="140">
        <v>5.9555377047350362</v>
      </c>
    </row>
    <row r="2423" spans="1:6">
      <c r="A2423" s="149" t="s">
        <v>2962</v>
      </c>
      <c r="B2423" s="144" t="s">
        <v>2479</v>
      </c>
      <c r="C2423" s="44">
        <v>13563</v>
      </c>
      <c r="D2423" s="153">
        <f t="shared" si="37"/>
        <v>0.84768750000000004</v>
      </c>
      <c r="E2423" s="43">
        <v>24124.446758656599</v>
      </c>
      <c r="F2423" s="140">
        <v>5.9555377047350362</v>
      </c>
    </row>
    <row r="2424" spans="1:6">
      <c r="A2424" s="149" t="s">
        <v>2962</v>
      </c>
      <c r="B2424" s="144" t="s">
        <v>2480</v>
      </c>
      <c r="C2424" s="44">
        <v>13563</v>
      </c>
      <c r="D2424" s="153">
        <f t="shared" si="37"/>
        <v>0.84768750000000004</v>
      </c>
      <c r="E2424" s="43">
        <v>24124.446758656599</v>
      </c>
      <c r="F2424" s="140">
        <v>5.9555377047350362</v>
      </c>
    </row>
    <row r="2425" spans="1:6">
      <c r="A2425" s="149" t="s">
        <v>2962</v>
      </c>
      <c r="B2425" s="144" t="s">
        <v>2481</v>
      </c>
      <c r="C2425" s="44">
        <v>13563</v>
      </c>
      <c r="D2425" s="153">
        <f t="shared" si="37"/>
        <v>0.84768750000000004</v>
      </c>
      <c r="E2425" s="43">
        <v>24124.446758656599</v>
      </c>
      <c r="F2425" s="140">
        <v>5.9555377047350362</v>
      </c>
    </row>
    <row r="2426" spans="1:6">
      <c r="A2426" s="149" t="s">
        <v>2962</v>
      </c>
      <c r="B2426" s="144" t="s">
        <v>2482</v>
      </c>
      <c r="C2426" s="44">
        <v>13563</v>
      </c>
      <c r="D2426" s="153">
        <f t="shared" si="37"/>
        <v>0.84768750000000004</v>
      </c>
      <c r="E2426" s="43">
        <v>24124.446758656599</v>
      </c>
      <c r="F2426" s="140">
        <v>5.9555377047350362</v>
      </c>
    </row>
    <row r="2427" spans="1:6">
      <c r="A2427" s="149" t="s">
        <v>2962</v>
      </c>
      <c r="B2427" s="144" t="s">
        <v>2483</v>
      </c>
      <c r="C2427" s="44">
        <v>13563</v>
      </c>
      <c r="D2427" s="153">
        <f t="shared" si="37"/>
        <v>0.84768750000000004</v>
      </c>
      <c r="E2427" s="43">
        <v>24124.446758656599</v>
      </c>
      <c r="F2427" s="140">
        <v>5.9555377047350362</v>
      </c>
    </row>
    <row r="2428" spans="1:6">
      <c r="A2428" s="149" t="s">
        <v>2962</v>
      </c>
      <c r="B2428" s="144" t="s">
        <v>2484</v>
      </c>
      <c r="C2428" s="44">
        <v>13563</v>
      </c>
      <c r="D2428" s="153">
        <f t="shared" si="37"/>
        <v>0.84768750000000004</v>
      </c>
      <c r="E2428" s="43">
        <v>24124.446758656599</v>
      </c>
      <c r="F2428" s="140">
        <v>5.9555377047350362</v>
      </c>
    </row>
    <row r="2429" spans="1:6">
      <c r="A2429" s="149" t="s">
        <v>2962</v>
      </c>
      <c r="B2429" s="144" t="s">
        <v>2485</v>
      </c>
      <c r="C2429" s="44">
        <v>13563</v>
      </c>
      <c r="D2429" s="153">
        <f t="shared" si="37"/>
        <v>0.84768750000000004</v>
      </c>
      <c r="E2429" s="43">
        <v>24124.446758656599</v>
      </c>
      <c r="F2429" s="140">
        <v>5.9555377047350362</v>
      </c>
    </row>
    <row r="2430" spans="1:6">
      <c r="A2430" s="149" t="s">
        <v>2962</v>
      </c>
      <c r="B2430" s="144" t="s">
        <v>2486</v>
      </c>
      <c r="C2430" s="44">
        <v>13563</v>
      </c>
      <c r="D2430" s="153">
        <f t="shared" si="37"/>
        <v>0.84768750000000004</v>
      </c>
      <c r="E2430" s="43">
        <v>24124.446758656599</v>
      </c>
      <c r="F2430" s="140">
        <v>5.9555377047350362</v>
      </c>
    </row>
    <row r="2431" spans="1:6">
      <c r="A2431" s="149" t="s">
        <v>2962</v>
      </c>
      <c r="B2431" s="144" t="s">
        <v>2487</v>
      </c>
      <c r="C2431" s="44">
        <v>13563</v>
      </c>
      <c r="D2431" s="153">
        <f t="shared" si="37"/>
        <v>0.84768750000000004</v>
      </c>
      <c r="E2431" s="43">
        <v>24124.446758656599</v>
      </c>
      <c r="F2431" s="140">
        <v>5.9555377047350362</v>
      </c>
    </row>
    <row r="2432" spans="1:6">
      <c r="A2432" s="149" t="s">
        <v>2962</v>
      </c>
      <c r="B2432" s="144" t="s">
        <v>2488</v>
      </c>
      <c r="C2432" s="44">
        <v>13563</v>
      </c>
      <c r="D2432" s="153">
        <f t="shared" si="37"/>
        <v>0.84768750000000004</v>
      </c>
      <c r="E2432" s="43">
        <v>24124.446758656599</v>
      </c>
      <c r="F2432" s="140">
        <v>5.9555377047350362</v>
      </c>
    </row>
    <row r="2433" spans="1:6">
      <c r="A2433" s="149" t="s">
        <v>2962</v>
      </c>
      <c r="B2433" s="144" t="s">
        <v>2489</v>
      </c>
      <c r="C2433" s="44">
        <v>13563</v>
      </c>
      <c r="D2433" s="153">
        <f t="shared" si="37"/>
        <v>0.84768750000000004</v>
      </c>
      <c r="E2433" s="43">
        <v>24124.446758656599</v>
      </c>
      <c r="F2433" s="140">
        <v>5.9555377047350362</v>
      </c>
    </row>
    <row r="2434" spans="1:6">
      <c r="A2434" s="149" t="s">
        <v>2962</v>
      </c>
      <c r="B2434" s="144" t="s">
        <v>2490</v>
      </c>
      <c r="C2434" s="44">
        <v>13563</v>
      </c>
      <c r="D2434" s="153">
        <f t="shared" si="37"/>
        <v>0.84768750000000004</v>
      </c>
      <c r="E2434" s="43">
        <v>24124.446758656599</v>
      </c>
      <c r="F2434" s="140">
        <v>5.9555377047350362</v>
      </c>
    </row>
    <row r="2435" spans="1:6">
      <c r="A2435" s="149" t="s">
        <v>2962</v>
      </c>
      <c r="B2435" s="144" t="s">
        <v>2491</v>
      </c>
      <c r="C2435" s="44">
        <v>13563</v>
      </c>
      <c r="D2435" s="153">
        <f t="shared" si="37"/>
        <v>0.84768750000000004</v>
      </c>
      <c r="E2435" s="43">
        <v>24124.446758656599</v>
      </c>
      <c r="F2435" s="140">
        <v>5.9555377047350362</v>
      </c>
    </row>
    <row r="2436" spans="1:6">
      <c r="A2436" s="149" t="s">
        <v>2962</v>
      </c>
      <c r="B2436" s="144" t="s">
        <v>2492</v>
      </c>
      <c r="C2436" s="44">
        <v>13563</v>
      </c>
      <c r="D2436" s="153">
        <f t="shared" si="37"/>
        <v>0.84768750000000004</v>
      </c>
      <c r="E2436" s="43">
        <v>24124.446758656599</v>
      </c>
      <c r="F2436" s="140">
        <v>5.9555377047350362</v>
      </c>
    </row>
    <row r="2437" spans="1:6">
      <c r="A2437" s="149" t="s">
        <v>2962</v>
      </c>
      <c r="B2437" s="144" t="s">
        <v>2493</v>
      </c>
      <c r="C2437" s="44">
        <v>13563</v>
      </c>
      <c r="D2437" s="153">
        <f t="shared" si="37"/>
        <v>0.84768750000000004</v>
      </c>
      <c r="E2437" s="43">
        <v>24124.446758656599</v>
      </c>
      <c r="F2437" s="140">
        <v>5.9555377047350362</v>
      </c>
    </row>
    <row r="2438" spans="1:6">
      <c r="A2438" s="149" t="s">
        <v>2962</v>
      </c>
      <c r="B2438" s="144" t="s">
        <v>2494</v>
      </c>
      <c r="C2438" s="44">
        <v>13563</v>
      </c>
      <c r="D2438" s="153">
        <f t="shared" si="37"/>
        <v>0.84768750000000004</v>
      </c>
      <c r="E2438" s="43">
        <v>24124.446758656599</v>
      </c>
      <c r="F2438" s="140">
        <v>5.9555377047350362</v>
      </c>
    </row>
    <row r="2439" spans="1:6">
      <c r="A2439" s="149" t="s">
        <v>2962</v>
      </c>
      <c r="B2439" s="144" t="s">
        <v>2495</v>
      </c>
      <c r="C2439" s="44">
        <v>13563</v>
      </c>
      <c r="D2439" s="153">
        <f t="shared" ref="D2439:D2502" si="38">C2439/32768*4.096/2</f>
        <v>0.84768750000000004</v>
      </c>
      <c r="E2439" s="43">
        <v>24124.446758656599</v>
      </c>
      <c r="F2439" s="140">
        <v>5.9555377047350362</v>
      </c>
    </row>
    <row r="2440" spans="1:6">
      <c r="A2440" s="149" t="s">
        <v>2962</v>
      </c>
      <c r="B2440" s="144" t="s">
        <v>2496</v>
      </c>
      <c r="C2440" s="44">
        <v>13563</v>
      </c>
      <c r="D2440" s="153">
        <f t="shared" si="38"/>
        <v>0.84768750000000004</v>
      </c>
      <c r="E2440" s="43">
        <v>24124.446758656599</v>
      </c>
      <c r="F2440" s="140">
        <v>5.9555377047350362</v>
      </c>
    </row>
    <row r="2441" spans="1:6">
      <c r="A2441" s="149" t="s">
        <v>2962</v>
      </c>
      <c r="B2441" s="144" t="s">
        <v>2497</v>
      </c>
      <c r="C2441" s="44">
        <v>13563</v>
      </c>
      <c r="D2441" s="153">
        <f t="shared" si="38"/>
        <v>0.84768750000000004</v>
      </c>
      <c r="E2441" s="43">
        <v>24124.446758656599</v>
      </c>
      <c r="F2441" s="140">
        <v>5.9555377047350362</v>
      </c>
    </row>
    <row r="2442" spans="1:6">
      <c r="A2442" s="149" t="s">
        <v>2962</v>
      </c>
      <c r="B2442" s="144" t="s">
        <v>2498</v>
      </c>
      <c r="C2442" s="44">
        <v>13563</v>
      </c>
      <c r="D2442" s="153">
        <f t="shared" si="38"/>
        <v>0.84768750000000004</v>
      </c>
      <c r="E2442" s="43">
        <v>24124.446758656599</v>
      </c>
      <c r="F2442" s="140">
        <v>5.9555377047350362</v>
      </c>
    </row>
    <row r="2443" spans="1:6">
      <c r="A2443" s="149" t="s">
        <v>2962</v>
      </c>
      <c r="B2443" s="144" t="s">
        <v>2499</v>
      </c>
      <c r="C2443" s="44">
        <v>13563</v>
      </c>
      <c r="D2443" s="153">
        <f t="shared" si="38"/>
        <v>0.84768750000000004</v>
      </c>
      <c r="E2443" s="43">
        <v>24124.446758656599</v>
      </c>
      <c r="F2443" s="140">
        <v>5.9555377047350362</v>
      </c>
    </row>
    <row r="2444" spans="1:6">
      <c r="A2444" s="149" t="s">
        <v>2962</v>
      </c>
      <c r="B2444" s="144" t="s">
        <v>2500</v>
      </c>
      <c r="C2444" s="44">
        <v>13563</v>
      </c>
      <c r="D2444" s="153">
        <f t="shared" si="38"/>
        <v>0.84768750000000004</v>
      </c>
      <c r="E2444" s="43">
        <v>24124.446758656599</v>
      </c>
      <c r="F2444" s="140">
        <v>5.9555377047350362</v>
      </c>
    </row>
    <row r="2445" spans="1:6">
      <c r="A2445" s="149" t="s">
        <v>2962</v>
      </c>
      <c r="B2445" s="144" t="s">
        <v>2501</v>
      </c>
      <c r="C2445" s="44">
        <v>13562</v>
      </c>
      <c r="D2445" s="153">
        <f t="shared" si="38"/>
        <v>0.84762500000000007</v>
      </c>
      <c r="E2445" s="43">
        <v>24122.66999895866</v>
      </c>
      <c r="F2445" s="140">
        <v>5.9570361206319831</v>
      </c>
    </row>
    <row r="2446" spans="1:6">
      <c r="A2446" s="149" t="s">
        <v>2962</v>
      </c>
      <c r="B2446" s="146" t="s">
        <v>2502</v>
      </c>
      <c r="C2446" s="44">
        <v>13562</v>
      </c>
      <c r="D2446" s="153">
        <f t="shared" si="38"/>
        <v>0.84762500000000007</v>
      </c>
      <c r="E2446" s="43">
        <v>24122.66999895866</v>
      </c>
      <c r="F2446" s="43">
        <v>5.9570361206319831</v>
      </c>
    </row>
    <row r="2447" spans="1:6">
      <c r="A2447" s="149" t="s">
        <v>2962</v>
      </c>
      <c r="B2447" s="146" t="s">
        <v>2503</v>
      </c>
      <c r="C2447" s="44">
        <v>13563</v>
      </c>
      <c r="D2447" s="153">
        <f t="shared" si="38"/>
        <v>0.84768750000000004</v>
      </c>
      <c r="E2447" s="43">
        <v>24124.446758656599</v>
      </c>
      <c r="F2447" s="43">
        <v>5.9555377047350362</v>
      </c>
    </row>
    <row r="2448" spans="1:6">
      <c r="A2448" s="149" t="s">
        <v>2962</v>
      </c>
      <c r="B2448" s="146" t="s">
        <v>2504</v>
      </c>
      <c r="C2448" s="44">
        <v>13562</v>
      </c>
      <c r="D2448" s="153">
        <f t="shared" si="38"/>
        <v>0.84762500000000007</v>
      </c>
      <c r="E2448" s="43">
        <v>24122.66999895866</v>
      </c>
      <c r="F2448" s="43">
        <v>5.9570361206319831</v>
      </c>
    </row>
    <row r="2449" spans="1:6">
      <c r="A2449" s="149" t="s">
        <v>2962</v>
      </c>
      <c r="B2449" s="146" t="s">
        <v>2505</v>
      </c>
      <c r="C2449" s="44">
        <v>13562</v>
      </c>
      <c r="D2449" s="153">
        <f t="shared" si="38"/>
        <v>0.84762500000000007</v>
      </c>
      <c r="E2449" s="43">
        <v>24122.66999895866</v>
      </c>
      <c r="F2449" s="43">
        <v>5.9570361206319831</v>
      </c>
    </row>
    <row r="2450" spans="1:6">
      <c r="A2450" s="149" t="s">
        <v>2962</v>
      </c>
      <c r="B2450" s="146" t="s">
        <v>2506</v>
      </c>
      <c r="C2450" s="44">
        <v>13562</v>
      </c>
      <c r="D2450" s="153">
        <f t="shared" si="38"/>
        <v>0.84762500000000007</v>
      </c>
      <c r="E2450" s="43">
        <v>24122.66999895866</v>
      </c>
      <c r="F2450" s="43">
        <v>5.9570361206319831</v>
      </c>
    </row>
    <row r="2451" spans="1:6">
      <c r="A2451" s="149" t="s">
        <v>2962</v>
      </c>
      <c r="B2451" s="146" t="s">
        <v>2507</v>
      </c>
      <c r="C2451" s="44">
        <v>13563</v>
      </c>
      <c r="D2451" s="153">
        <f t="shared" si="38"/>
        <v>0.84768750000000004</v>
      </c>
      <c r="E2451" s="43">
        <v>24124.446758656599</v>
      </c>
      <c r="F2451" s="43">
        <v>5.9555377047350362</v>
      </c>
    </row>
    <row r="2452" spans="1:6">
      <c r="A2452" s="149" t="s">
        <v>2962</v>
      </c>
      <c r="B2452" s="146" t="s">
        <v>2508</v>
      </c>
      <c r="C2452" s="44">
        <v>13562</v>
      </c>
      <c r="D2452" s="153">
        <f t="shared" si="38"/>
        <v>0.84762500000000007</v>
      </c>
      <c r="E2452" s="43">
        <v>24122.66999895866</v>
      </c>
      <c r="F2452" s="43">
        <v>5.9570361206319831</v>
      </c>
    </row>
    <row r="2453" spans="1:6">
      <c r="A2453" s="149" t="s">
        <v>2962</v>
      </c>
      <c r="B2453" s="146" t="s">
        <v>2509</v>
      </c>
      <c r="C2453" s="44">
        <v>13562</v>
      </c>
      <c r="D2453" s="153">
        <f t="shared" si="38"/>
        <v>0.84762500000000007</v>
      </c>
      <c r="E2453" s="43">
        <v>24122.66999895866</v>
      </c>
      <c r="F2453" s="43">
        <v>5.9570361206319831</v>
      </c>
    </row>
    <row r="2454" spans="1:6">
      <c r="A2454" s="149" t="s">
        <v>2962</v>
      </c>
      <c r="B2454" s="146" t="s">
        <v>2510</v>
      </c>
      <c r="C2454" s="44">
        <v>13562</v>
      </c>
      <c r="D2454" s="153">
        <f t="shared" si="38"/>
        <v>0.84762500000000007</v>
      </c>
      <c r="E2454" s="43">
        <v>24122.66999895866</v>
      </c>
      <c r="F2454" s="43">
        <v>5.9570361206319831</v>
      </c>
    </row>
    <row r="2455" spans="1:6">
      <c r="A2455" s="149" t="s">
        <v>2962</v>
      </c>
      <c r="B2455" s="146" t="s">
        <v>2511</v>
      </c>
      <c r="C2455" s="44">
        <v>13562</v>
      </c>
      <c r="D2455" s="153">
        <f t="shared" si="38"/>
        <v>0.84762500000000007</v>
      </c>
      <c r="E2455" s="43">
        <v>24122.66999895866</v>
      </c>
      <c r="F2455" s="43">
        <v>5.9570361206319831</v>
      </c>
    </row>
    <row r="2456" spans="1:6">
      <c r="A2456" s="149" t="s">
        <v>2962</v>
      </c>
      <c r="B2456" s="146" t="s">
        <v>2512</v>
      </c>
      <c r="C2456" s="44">
        <v>13562</v>
      </c>
      <c r="D2456" s="153">
        <f t="shared" si="38"/>
        <v>0.84762500000000007</v>
      </c>
      <c r="E2456" s="43">
        <v>24122.66999895866</v>
      </c>
      <c r="F2456" s="43">
        <v>5.9570361206319831</v>
      </c>
    </row>
    <row r="2457" spans="1:6">
      <c r="A2457" s="149" t="s">
        <v>2962</v>
      </c>
      <c r="B2457" s="146" t="s">
        <v>2513</v>
      </c>
      <c r="C2457" s="44">
        <v>13562</v>
      </c>
      <c r="D2457" s="153">
        <f t="shared" si="38"/>
        <v>0.84762500000000007</v>
      </c>
      <c r="E2457" s="43">
        <v>24122.66999895866</v>
      </c>
      <c r="F2457" s="43">
        <v>5.9570361206319831</v>
      </c>
    </row>
    <row r="2458" spans="1:6">
      <c r="A2458" s="149" t="s">
        <v>2962</v>
      </c>
      <c r="B2458" s="146" t="s">
        <v>2514</v>
      </c>
      <c r="C2458" s="44">
        <v>13562</v>
      </c>
      <c r="D2458" s="153">
        <f t="shared" si="38"/>
        <v>0.84762500000000007</v>
      </c>
      <c r="E2458" s="43">
        <v>24122.66999895866</v>
      </c>
      <c r="F2458" s="43">
        <v>5.9570361206319831</v>
      </c>
    </row>
    <row r="2459" spans="1:6">
      <c r="A2459" s="149" t="s">
        <v>2962</v>
      </c>
      <c r="B2459" s="146" t="s">
        <v>2515</v>
      </c>
      <c r="C2459" s="44">
        <v>13562</v>
      </c>
      <c r="D2459" s="153">
        <f t="shared" si="38"/>
        <v>0.84762500000000007</v>
      </c>
      <c r="E2459" s="43">
        <v>24122.66999895866</v>
      </c>
      <c r="F2459" s="43">
        <v>5.9570361206319831</v>
      </c>
    </row>
    <row r="2460" spans="1:6">
      <c r="A2460" s="149" t="s">
        <v>2962</v>
      </c>
      <c r="B2460" s="146" t="s">
        <v>2516</v>
      </c>
      <c r="C2460" s="44">
        <v>13562</v>
      </c>
      <c r="D2460" s="153">
        <f t="shared" si="38"/>
        <v>0.84762500000000007</v>
      </c>
      <c r="E2460" s="43">
        <v>24122.66999895866</v>
      </c>
      <c r="F2460" s="43">
        <v>5.9570361206319831</v>
      </c>
    </row>
    <row r="2461" spans="1:6">
      <c r="A2461" s="149" t="s">
        <v>2962</v>
      </c>
      <c r="B2461" s="146" t="s">
        <v>2517</v>
      </c>
      <c r="C2461" s="44">
        <v>13562</v>
      </c>
      <c r="D2461" s="153">
        <f t="shared" si="38"/>
        <v>0.84762500000000007</v>
      </c>
      <c r="E2461" s="43">
        <v>24122.66999895866</v>
      </c>
      <c r="F2461" s="43">
        <v>5.9570361206319831</v>
      </c>
    </row>
    <row r="2462" spans="1:6">
      <c r="A2462" s="149" t="s">
        <v>2962</v>
      </c>
      <c r="B2462" s="146" t="s">
        <v>2518</v>
      </c>
      <c r="C2462" s="44">
        <v>13562</v>
      </c>
      <c r="D2462" s="153">
        <f t="shared" si="38"/>
        <v>0.84762500000000007</v>
      </c>
      <c r="E2462" s="43">
        <v>24122.66999895866</v>
      </c>
      <c r="F2462" s="43">
        <v>5.9570361206319831</v>
      </c>
    </row>
    <row r="2463" spans="1:6">
      <c r="A2463" s="149" t="s">
        <v>2962</v>
      </c>
      <c r="B2463" s="146" t="s">
        <v>2519</v>
      </c>
      <c r="C2463" s="44">
        <v>13562</v>
      </c>
      <c r="D2463" s="153">
        <f t="shared" si="38"/>
        <v>0.84762500000000007</v>
      </c>
      <c r="E2463" s="43">
        <v>24122.66999895866</v>
      </c>
      <c r="F2463" s="43">
        <v>5.9570361206319831</v>
      </c>
    </row>
    <row r="2464" spans="1:6">
      <c r="A2464" s="149" t="s">
        <v>2962</v>
      </c>
      <c r="B2464" s="146" t="s">
        <v>2520</v>
      </c>
      <c r="C2464" s="44">
        <v>13562</v>
      </c>
      <c r="D2464" s="153">
        <f t="shared" si="38"/>
        <v>0.84762500000000007</v>
      </c>
      <c r="E2464" s="43">
        <v>24122.66999895866</v>
      </c>
      <c r="F2464" s="43">
        <v>5.9570361206319831</v>
      </c>
    </row>
    <row r="2465" spans="1:6">
      <c r="A2465" s="149" t="s">
        <v>2962</v>
      </c>
      <c r="B2465" s="146" t="s">
        <v>2521</v>
      </c>
      <c r="C2465" s="44">
        <v>13562</v>
      </c>
      <c r="D2465" s="153">
        <f t="shared" si="38"/>
        <v>0.84762500000000007</v>
      </c>
      <c r="E2465" s="43">
        <v>24122.66999895866</v>
      </c>
      <c r="F2465" s="43">
        <v>5.9570361206319831</v>
      </c>
    </row>
    <row r="2466" spans="1:6">
      <c r="A2466" s="149" t="s">
        <v>2962</v>
      </c>
      <c r="B2466" s="146" t="s">
        <v>2522</v>
      </c>
      <c r="C2466" s="44">
        <v>13562</v>
      </c>
      <c r="D2466" s="153">
        <f t="shared" si="38"/>
        <v>0.84762500000000007</v>
      </c>
      <c r="E2466" s="43">
        <v>24122.66999895866</v>
      </c>
      <c r="F2466" s="43">
        <v>5.9570361206319831</v>
      </c>
    </row>
    <row r="2467" spans="1:6">
      <c r="A2467" s="149" t="s">
        <v>2962</v>
      </c>
      <c r="B2467" s="146" t="s">
        <v>2523</v>
      </c>
      <c r="C2467" s="44">
        <v>13562</v>
      </c>
      <c r="D2467" s="153">
        <f t="shared" si="38"/>
        <v>0.84762500000000007</v>
      </c>
      <c r="E2467" s="43">
        <v>24122.66999895866</v>
      </c>
      <c r="F2467" s="43">
        <v>5.9570361206319831</v>
      </c>
    </row>
    <row r="2468" spans="1:6">
      <c r="A2468" s="149" t="s">
        <v>2962</v>
      </c>
      <c r="B2468" s="146" t="s">
        <v>2524</v>
      </c>
      <c r="C2468" s="44">
        <v>13562</v>
      </c>
      <c r="D2468" s="153">
        <f t="shared" si="38"/>
        <v>0.84762500000000007</v>
      </c>
      <c r="E2468" s="43">
        <v>24122.66999895866</v>
      </c>
      <c r="F2468" s="43">
        <v>5.9570361206319831</v>
      </c>
    </row>
    <row r="2469" spans="1:6">
      <c r="A2469" s="149" t="s">
        <v>2962</v>
      </c>
      <c r="B2469" s="146" t="s">
        <v>2525</v>
      </c>
      <c r="C2469" s="44">
        <v>13562</v>
      </c>
      <c r="D2469" s="153">
        <f t="shared" si="38"/>
        <v>0.84762500000000007</v>
      </c>
      <c r="E2469" s="43">
        <v>24122.66999895866</v>
      </c>
      <c r="F2469" s="43">
        <v>5.9570361206319831</v>
      </c>
    </row>
    <row r="2470" spans="1:6">
      <c r="A2470" s="149" t="s">
        <v>2962</v>
      </c>
      <c r="B2470" s="146" t="s">
        <v>2526</v>
      </c>
      <c r="C2470" s="44">
        <v>13562</v>
      </c>
      <c r="D2470" s="153">
        <f t="shared" si="38"/>
        <v>0.84762500000000007</v>
      </c>
      <c r="E2470" s="43">
        <v>24122.66999895866</v>
      </c>
      <c r="F2470" s="43">
        <v>5.9570361206319831</v>
      </c>
    </row>
    <row r="2471" spans="1:6">
      <c r="A2471" s="149" t="s">
        <v>2962</v>
      </c>
      <c r="B2471" s="146" t="s">
        <v>2527</v>
      </c>
      <c r="C2471" s="44">
        <v>13562</v>
      </c>
      <c r="D2471" s="153">
        <f t="shared" si="38"/>
        <v>0.84762500000000007</v>
      </c>
      <c r="E2471" s="43">
        <v>24122.66999895866</v>
      </c>
      <c r="F2471" s="43">
        <v>5.9570361206319831</v>
      </c>
    </row>
    <row r="2472" spans="1:6">
      <c r="A2472" s="149" t="s">
        <v>2962</v>
      </c>
      <c r="B2472" s="146" t="s">
        <v>2528</v>
      </c>
      <c r="C2472" s="44">
        <v>13562</v>
      </c>
      <c r="D2472" s="153">
        <f t="shared" si="38"/>
        <v>0.84762500000000007</v>
      </c>
      <c r="E2472" s="43">
        <v>24122.66999895866</v>
      </c>
      <c r="F2472" s="43">
        <v>5.9570361206319831</v>
      </c>
    </row>
    <row r="2473" spans="1:6">
      <c r="A2473" s="149" t="s">
        <v>2962</v>
      </c>
      <c r="B2473" s="146" t="s">
        <v>2529</v>
      </c>
      <c r="C2473" s="44">
        <v>13562</v>
      </c>
      <c r="D2473" s="153">
        <f t="shared" si="38"/>
        <v>0.84762500000000007</v>
      </c>
      <c r="E2473" s="43">
        <v>24122.66999895866</v>
      </c>
      <c r="F2473" s="43">
        <v>5.9570361206319831</v>
      </c>
    </row>
    <row r="2474" spans="1:6">
      <c r="A2474" s="149" t="s">
        <v>2962</v>
      </c>
      <c r="B2474" s="146" t="s">
        <v>2530</v>
      </c>
      <c r="C2474" s="44">
        <v>13562</v>
      </c>
      <c r="D2474" s="153">
        <f t="shared" si="38"/>
        <v>0.84762500000000007</v>
      </c>
      <c r="E2474" s="43">
        <v>24122.66999895866</v>
      </c>
      <c r="F2474" s="43">
        <v>5.9570361206319831</v>
      </c>
    </row>
    <row r="2475" spans="1:6">
      <c r="A2475" s="149" t="s">
        <v>2962</v>
      </c>
      <c r="B2475" s="146" t="s">
        <v>2531</v>
      </c>
      <c r="C2475" s="44">
        <v>13562</v>
      </c>
      <c r="D2475" s="153">
        <f t="shared" si="38"/>
        <v>0.84762500000000007</v>
      </c>
      <c r="E2475" s="43">
        <v>24122.66999895866</v>
      </c>
      <c r="F2475" s="43">
        <v>5.9570361206319831</v>
      </c>
    </row>
    <row r="2476" spans="1:6">
      <c r="A2476" s="149" t="s">
        <v>2962</v>
      </c>
      <c r="B2476" s="146" t="s">
        <v>2532</v>
      </c>
      <c r="C2476" s="44">
        <v>13562</v>
      </c>
      <c r="D2476" s="153">
        <f t="shared" si="38"/>
        <v>0.84762500000000007</v>
      </c>
      <c r="E2476" s="43">
        <v>24122.66999895866</v>
      </c>
      <c r="F2476" s="43">
        <v>5.9570361206319831</v>
      </c>
    </row>
    <row r="2477" spans="1:6">
      <c r="A2477" s="149" t="s">
        <v>2962</v>
      </c>
      <c r="B2477" s="146" t="s">
        <v>2533</v>
      </c>
      <c r="C2477" s="44">
        <v>13562</v>
      </c>
      <c r="D2477" s="153">
        <f t="shared" si="38"/>
        <v>0.84762500000000007</v>
      </c>
      <c r="E2477" s="43">
        <v>24122.66999895866</v>
      </c>
      <c r="F2477" s="43">
        <v>5.9570361206319831</v>
      </c>
    </row>
    <row r="2478" spans="1:6">
      <c r="A2478" s="149" t="s">
        <v>2962</v>
      </c>
      <c r="B2478" s="146" t="s">
        <v>2534</v>
      </c>
      <c r="C2478" s="44">
        <v>13562</v>
      </c>
      <c r="D2478" s="153">
        <f t="shared" si="38"/>
        <v>0.84762500000000007</v>
      </c>
      <c r="E2478" s="43">
        <v>24122.66999895866</v>
      </c>
      <c r="F2478" s="43">
        <v>5.9570361206319831</v>
      </c>
    </row>
    <row r="2479" spans="1:6">
      <c r="A2479" s="149" t="s">
        <v>2962</v>
      </c>
      <c r="B2479" s="146" t="s">
        <v>2535</v>
      </c>
      <c r="C2479" s="44">
        <v>13562</v>
      </c>
      <c r="D2479" s="153">
        <f t="shared" si="38"/>
        <v>0.84762500000000007</v>
      </c>
      <c r="E2479" s="43">
        <v>24122.66999895866</v>
      </c>
      <c r="F2479" s="43">
        <v>5.9570361206319831</v>
      </c>
    </row>
    <row r="2480" spans="1:6">
      <c r="A2480" s="149" t="s">
        <v>2962</v>
      </c>
      <c r="B2480" s="146" t="s">
        <v>2536</v>
      </c>
      <c r="C2480" s="44">
        <v>13562</v>
      </c>
      <c r="D2480" s="153">
        <f t="shared" si="38"/>
        <v>0.84762500000000007</v>
      </c>
      <c r="E2480" s="43">
        <v>24122.66999895866</v>
      </c>
      <c r="F2480" s="43">
        <v>5.9570361206319831</v>
      </c>
    </row>
    <row r="2481" spans="1:6">
      <c r="A2481" s="149" t="s">
        <v>2962</v>
      </c>
      <c r="B2481" s="146" t="s">
        <v>2537</v>
      </c>
      <c r="C2481" s="44">
        <v>13562</v>
      </c>
      <c r="D2481" s="153">
        <f t="shared" si="38"/>
        <v>0.84762500000000007</v>
      </c>
      <c r="E2481" s="43">
        <v>24122.66999895866</v>
      </c>
      <c r="F2481" s="43">
        <v>5.9570361206319831</v>
      </c>
    </row>
    <row r="2482" spans="1:6">
      <c r="A2482" s="149" t="s">
        <v>2962</v>
      </c>
      <c r="B2482" s="146" t="s">
        <v>2538</v>
      </c>
      <c r="C2482" s="44">
        <v>13562</v>
      </c>
      <c r="D2482" s="153">
        <f t="shared" si="38"/>
        <v>0.84762500000000007</v>
      </c>
      <c r="E2482" s="43">
        <v>24122.66999895866</v>
      </c>
      <c r="F2482" s="43">
        <v>5.9570361206319831</v>
      </c>
    </row>
    <row r="2483" spans="1:6">
      <c r="A2483" s="149" t="s">
        <v>2962</v>
      </c>
      <c r="B2483" s="146" t="s">
        <v>2539</v>
      </c>
      <c r="C2483" s="44">
        <v>13562</v>
      </c>
      <c r="D2483" s="153">
        <f t="shared" si="38"/>
        <v>0.84762500000000007</v>
      </c>
      <c r="E2483" s="43">
        <v>24122.66999895866</v>
      </c>
      <c r="F2483" s="43">
        <v>5.9570361206319831</v>
      </c>
    </row>
    <row r="2484" spans="1:6">
      <c r="A2484" s="149" t="s">
        <v>2962</v>
      </c>
      <c r="B2484" s="146" t="s">
        <v>2540</v>
      </c>
      <c r="C2484" s="44">
        <v>13562</v>
      </c>
      <c r="D2484" s="153">
        <f t="shared" si="38"/>
        <v>0.84762500000000007</v>
      </c>
      <c r="E2484" s="43">
        <v>24122.66999895866</v>
      </c>
      <c r="F2484" s="43">
        <v>5.9570361206319831</v>
      </c>
    </row>
    <row r="2485" spans="1:6">
      <c r="A2485" s="149" t="s">
        <v>2962</v>
      </c>
      <c r="B2485" s="146" t="s">
        <v>2541</v>
      </c>
      <c r="C2485" s="44">
        <v>13562</v>
      </c>
      <c r="D2485" s="153">
        <f t="shared" si="38"/>
        <v>0.84762500000000007</v>
      </c>
      <c r="E2485" s="43">
        <v>24122.66999895866</v>
      </c>
      <c r="F2485" s="43">
        <v>5.9570361206319831</v>
      </c>
    </row>
    <row r="2486" spans="1:6">
      <c r="A2486" s="149" t="s">
        <v>2962</v>
      </c>
      <c r="B2486" s="146" t="s">
        <v>2542</v>
      </c>
      <c r="C2486" s="44">
        <v>13562</v>
      </c>
      <c r="D2486" s="153">
        <f t="shared" si="38"/>
        <v>0.84762500000000007</v>
      </c>
      <c r="E2486" s="43">
        <v>24122.66999895866</v>
      </c>
      <c r="F2486" s="43">
        <v>5.9570361206319831</v>
      </c>
    </row>
    <row r="2487" spans="1:6">
      <c r="A2487" s="149" t="s">
        <v>2962</v>
      </c>
      <c r="B2487" s="146" t="s">
        <v>2543</v>
      </c>
      <c r="C2487" s="44">
        <v>13562</v>
      </c>
      <c r="D2487" s="153">
        <f t="shared" si="38"/>
        <v>0.84762500000000007</v>
      </c>
      <c r="E2487" s="43">
        <v>24122.66999895866</v>
      </c>
      <c r="F2487" s="43">
        <v>5.9570361206319831</v>
      </c>
    </row>
    <row r="2488" spans="1:6">
      <c r="A2488" s="149" t="s">
        <v>2962</v>
      </c>
      <c r="B2488" s="146" t="s">
        <v>2544</v>
      </c>
      <c r="C2488" s="44">
        <v>13562</v>
      </c>
      <c r="D2488" s="153">
        <f t="shared" si="38"/>
        <v>0.84762500000000007</v>
      </c>
      <c r="E2488" s="43">
        <v>24122.66999895866</v>
      </c>
      <c r="F2488" s="43">
        <v>5.9570361206319831</v>
      </c>
    </row>
    <row r="2489" spans="1:6">
      <c r="A2489" s="149" t="s">
        <v>2962</v>
      </c>
      <c r="B2489" s="146" t="s">
        <v>2545</v>
      </c>
      <c r="C2489" s="44">
        <v>13562</v>
      </c>
      <c r="D2489" s="153">
        <f t="shared" si="38"/>
        <v>0.84762500000000007</v>
      </c>
      <c r="E2489" s="43">
        <v>24122.66999895866</v>
      </c>
      <c r="F2489" s="43">
        <v>5.9570361206319831</v>
      </c>
    </row>
    <row r="2490" spans="1:6">
      <c r="A2490" s="149" t="s">
        <v>2962</v>
      </c>
      <c r="B2490" s="146" t="s">
        <v>2546</v>
      </c>
      <c r="C2490" s="44">
        <v>13562</v>
      </c>
      <c r="D2490" s="153">
        <f t="shared" si="38"/>
        <v>0.84762500000000007</v>
      </c>
      <c r="E2490" s="43">
        <v>24122.66999895866</v>
      </c>
      <c r="F2490" s="43">
        <v>5.9570361206319831</v>
      </c>
    </row>
    <row r="2491" spans="1:6">
      <c r="A2491" s="149" t="s">
        <v>2962</v>
      </c>
      <c r="B2491" s="146" t="s">
        <v>2547</v>
      </c>
      <c r="C2491" s="44">
        <v>13562</v>
      </c>
      <c r="D2491" s="153">
        <f t="shared" si="38"/>
        <v>0.84762500000000007</v>
      </c>
      <c r="E2491" s="43">
        <v>24122.66999895866</v>
      </c>
      <c r="F2491" s="43">
        <v>5.9570361206319831</v>
      </c>
    </row>
    <row r="2492" spans="1:6">
      <c r="A2492" s="149" t="s">
        <v>2962</v>
      </c>
      <c r="B2492" s="146" t="s">
        <v>2548</v>
      </c>
      <c r="C2492" s="44">
        <v>13562</v>
      </c>
      <c r="D2492" s="153">
        <f t="shared" si="38"/>
        <v>0.84762500000000007</v>
      </c>
      <c r="E2492" s="43">
        <v>24122.66999895866</v>
      </c>
      <c r="F2492" s="43">
        <v>5.9570361206319831</v>
      </c>
    </row>
    <row r="2493" spans="1:6">
      <c r="A2493" s="149" t="s">
        <v>2962</v>
      </c>
      <c r="B2493" s="146" t="s">
        <v>2549</v>
      </c>
      <c r="C2493" s="44">
        <v>13562</v>
      </c>
      <c r="D2493" s="153">
        <f t="shared" si="38"/>
        <v>0.84762500000000007</v>
      </c>
      <c r="E2493" s="43">
        <v>24122.66999895866</v>
      </c>
      <c r="F2493" s="43">
        <v>5.9570361206319831</v>
      </c>
    </row>
    <row r="2494" spans="1:6">
      <c r="A2494" s="149" t="s">
        <v>2962</v>
      </c>
      <c r="B2494" s="146" t="s">
        <v>2550</v>
      </c>
      <c r="C2494" s="44">
        <v>13562</v>
      </c>
      <c r="D2494" s="153">
        <f t="shared" si="38"/>
        <v>0.84762500000000007</v>
      </c>
      <c r="E2494" s="43">
        <v>24122.66999895866</v>
      </c>
      <c r="F2494" s="43">
        <v>5.9570361206319831</v>
      </c>
    </row>
    <row r="2495" spans="1:6">
      <c r="A2495" s="149" t="s">
        <v>2962</v>
      </c>
      <c r="B2495" s="146" t="s">
        <v>2551</v>
      </c>
      <c r="C2495" s="44">
        <v>13562</v>
      </c>
      <c r="D2495" s="153">
        <f t="shared" si="38"/>
        <v>0.84762500000000007</v>
      </c>
      <c r="E2495" s="43">
        <v>24122.66999895866</v>
      </c>
      <c r="F2495" s="43">
        <v>5.9570361206319831</v>
      </c>
    </row>
    <row r="2496" spans="1:6">
      <c r="A2496" s="149" t="s">
        <v>2962</v>
      </c>
      <c r="B2496" s="146" t="s">
        <v>2552</v>
      </c>
      <c r="C2496" s="44">
        <v>13562</v>
      </c>
      <c r="D2496" s="153">
        <f t="shared" si="38"/>
        <v>0.84762500000000007</v>
      </c>
      <c r="E2496" s="43">
        <v>24122.66999895866</v>
      </c>
      <c r="F2496" s="43">
        <v>5.9570361206319831</v>
      </c>
    </row>
    <row r="2497" spans="1:6">
      <c r="A2497" s="149" t="s">
        <v>2962</v>
      </c>
      <c r="B2497" s="146" t="s">
        <v>2553</v>
      </c>
      <c r="C2497" s="44">
        <v>13562</v>
      </c>
      <c r="D2497" s="153">
        <f t="shared" si="38"/>
        <v>0.84762500000000007</v>
      </c>
      <c r="E2497" s="43">
        <v>24122.66999895866</v>
      </c>
      <c r="F2497" s="43">
        <v>5.9570361206319831</v>
      </c>
    </row>
    <row r="2498" spans="1:6">
      <c r="A2498" s="149" t="s">
        <v>2962</v>
      </c>
      <c r="B2498" s="146" t="s">
        <v>2554</v>
      </c>
      <c r="C2498" s="44">
        <v>13562</v>
      </c>
      <c r="D2498" s="153">
        <f t="shared" si="38"/>
        <v>0.84762500000000007</v>
      </c>
      <c r="E2498" s="43">
        <v>24122.66999895866</v>
      </c>
      <c r="F2498" s="43">
        <v>5.9570361206319831</v>
      </c>
    </row>
    <row r="2499" spans="1:6">
      <c r="A2499" s="149" t="s">
        <v>2962</v>
      </c>
      <c r="B2499" s="146" t="s">
        <v>2555</v>
      </c>
      <c r="C2499" s="44">
        <v>13562</v>
      </c>
      <c r="D2499" s="153">
        <f t="shared" si="38"/>
        <v>0.84762500000000007</v>
      </c>
      <c r="E2499" s="43">
        <v>24122.66999895866</v>
      </c>
      <c r="F2499" s="43">
        <v>5.9570361206319831</v>
      </c>
    </row>
    <row r="2500" spans="1:6">
      <c r="A2500" s="149" t="s">
        <v>2962</v>
      </c>
      <c r="B2500" s="146" t="s">
        <v>2556</v>
      </c>
      <c r="C2500" s="44">
        <v>13562</v>
      </c>
      <c r="D2500" s="153">
        <f t="shared" si="38"/>
        <v>0.84762500000000007</v>
      </c>
      <c r="E2500" s="43">
        <v>24122.66999895866</v>
      </c>
      <c r="F2500" s="43">
        <v>5.9570361206319831</v>
      </c>
    </row>
    <row r="2501" spans="1:6">
      <c r="A2501" s="149" t="s">
        <v>2962</v>
      </c>
      <c r="B2501" s="146" t="s">
        <v>2557</v>
      </c>
      <c r="C2501" s="44">
        <v>13562</v>
      </c>
      <c r="D2501" s="153">
        <f t="shared" si="38"/>
        <v>0.84762500000000007</v>
      </c>
      <c r="E2501" s="43">
        <v>24122.66999895866</v>
      </c>
      <c r="F2501" s="43">
        <v>5.9570361206319831</v>
      </c>
    </row>
    <row r="2502" spans="1:6">
      <c r="A2502" s="149" t="s">
        <v>2962</v>
      </c>
      <c r="B2502" s="146" t="s">
        <v>2558</v>
      </c>
      <c r="C2502" s="44">
        <v>13562</v>
      </c>
      <c r="D2502" s="153">
        <f t="shared" si="38"/>
        <v>0.84762500000000007</v>
      </c>
      <c r="E2502" s="43">
        <v>24122.66999895866</v>
      </c>
      <c r="F2502" s="43">
        <v>5.9570361206319831</v>
      </c>
    </row>
    <row r="2503" spans="1:6">
      <c r="A2503" s="149" t="s">
        <v>2962</v>
      </c>
      <c r="B2503" s="146" t="s">
        <v>2559</v>
      </c>
      <c r="C2503" s="44">
        <v>13562</v>
      </c>
      <c r="D2503" s="153">
        <f t="shared" ref="D2503:D2566" si="39">C2503/32768*4.096/2</f>
        <v>0.84762500000000007</v>
      </c>
      <c r="E2503" s="43">
        <v>24122.66999895866</v>
      </c>
      <c r="F2503" s="43">
        <v>5.9570361206319831</v>
      </c>
    </row>
    <row r="2504" spans="1:6">
      <c r="A2504" s="149" t="s">
        <v>2962</v>
      </c>
      <c r="B2504" s="146" t="s">
        <v>2560</v>
      </c>
      <c r="C2504" s="44">
        <v>13562</v>
      </c>
      <c r="D2504" s="153">
        <f t="shared" si="39"/>
        <v>0.84762500000000007</v>
      </c>
      <c r="E2504" s="43">
        <v>24122.66999895866</v>
      </c>
      <c r="F2504" s="43">
        <v>5.9570361206319831</v>
      </c>
    </row>
    <row r="2505" spans="1:6">
      <c r="A2505" s="149" t="s">
        <v>2962</v>
      </c>
      <c r="B2505" s="146" t="s">
        <v>2561</v>
      </c>
      <c r="C2505" s="44">
        <v>13562</v>
      </c>
      <c r="D2505" s="153">
        <f t="shared" si="39"/>
        <v>0.84762500000000007</v>
      </c>
      <c r="E2505" s="43">
        <v>24122.66999895866</v>
      </c>
      <c r="F2505" s="43">
        <v>5.9570361206319831</v>
      </c>
    </row>
    <row r="2506" spans="1:6">
      <c r="A2506" s="149" t="s">
        <v>2962</v>
      </c>
      <c r="B2506" s="146" t="s">
        <v>2562</v>
      </c>
      <c r="C2506" s="44">
        <v>13562</v>
      </c>
      <c r="D2506" s="153">
        <f t="shared" si="39"/>
        <v>0.84762500000000007</v>
      </c>
      <c r="E2506" s="43">
        <v>24122.66999895866</v>
      </c>
      <c r="F2506" s="43">
        <v>5.9570361206319831</v>
      </c>
    </row>
    <row r="2507" spans="1:6">
      <c r="A2507" s="149" t="s">
        <v>2962</v>
      </c>
      <c r="B2507" s="146" t="s">
        <v>2563</v>
      </c>
      <c r="C2507" s="44">
        <v>13562</v>
      </c>
      <c r="D2507" s="153">
        <f t="shared" si="39"/>
        <v>0.84762500000000007</v>
      </c>
      <c r="E2507" s="43">
        <v>24122.66999895866</v>
      </c>
      <c r="F2507" s="43">
        <v>5.9570361206319831</v>
      </c>
    </row>
    <row r="2508" spans="1:6">
      <c r="A2508" s="149" t="s">
        <v>2962</v>
      </c>
      <c r="B2508" s="146" t="s">
        <v>2564</v>
      </c>
      <c r="C2508" s="44">
        <v>13562</v>
      </c>
      <c r="D2508" s="153">
        <f t="shared" si="39"/>
        <v>0.84762500000000007</v>
      </c>
      <c r="E2508" s="43">
        <v>24122.66999895866</v>
      </c>
      <c r="F2508" s="43">
        <v>5.9570361206319831</v>
      </c>
    </row>
    <row r="2509" spans="1:6">
      <c r="A2509" s="149" t="s">
        <v>2962</v>
      </c>
      <c r="B2509" s="146" t="s">
        <v>2565</v>
      </c>
      <c r="C2509" s="44">
        <v>13562</v>
      </c>
      <c r="D2509" s="153">
        <f t="shared" si="39"/>
        <v>0.84762500000000007</v>
      </c>
      <c r="E2509" s="43">
        <v>24122.66999895866</v>
      </c>
      <c r="F2509" s="43">
        <v>5.9570361206319831</v>
      </c>
    </row>
    <row r="2510" spans="1:6">
      <c r="A2510" s="149" t="s">
        <v>2962</v>
      </c>
      <c r="B2510" s="146" t="s">
        <v>2566</v>
      </c>
      <c r="C2510" s="44">
        <v>13562</v>
      </c>
      <c r="D2510" s="153">
        <f t="shared" si="39"/>
        <v>0.84762500000000007</v>
      </c>
      <c r="E2510" s="43">
        <v>24122.66999895866</v>
      </c>
      <c r="F2510" s="43">
        <v>5.9570361206319831</v>
      </c>
    </row>
    <row r="2511" spans="1:6">
      <c r="A2511" s="149" t="s">
        <v>2962</v>
      </c>
      <c r="B2511" s="146" t="s">
        <v>2567</v>
      </c>
      <c r="C2511" s="44">
        <v>13562</v>
      </c>
      <c r="D2511" s="153">
        <f t="shared" si="39"/>
        <v>0.84762500000000007</v>
      </c>
      <c r="E2511" s="43">
        <v>24122.66999895866</v>
      </c>
      <c r="F2511" s="43">
        <v>5.9570361206319831</v>
      </c>
    </row>
    <row r="2512" spans="1:6">
      <c r="A2512" s="149" t="s">
        <v>2962</v>
      </c>
      <c r="B2512" s="146" t="s">
        <v>2568</v>
      </c>
      <c r="C2512" s="44">
        <v>13562</v>
      </c>
      <c r="D2512" s="153">
        <f t="shared" si="39"/>
        <v>0.84762500000000007</v>
      </c>
      <c r="E2512" s="43">
        <v>24122.66999895866</v>
      </c>
      <c r="F2512" s="43">
        <v>5.9570361206319831</v>
      </c>
    </row>
    <row r="2513" spans="1:6">
      <c r="A2513" s="149" t="s">
        <v>2962</v>
      </c>
      <c r="B2513" s="146" t="s">
        <v>2569</v>
      </c>
      <c r="C2513" s="44">
        <v>13562</v>
      </c>
      <c r="D2513" s="153">
        <f t="shared" si="39"/>
        <v>0.84762500000000007</v>
      </c>
      <c r="E2513" s="43">
        <v>24122.66999895866</v>
      </c>
      <c r="F2513" s="43">
        <v>5.9570361206319831</v>
      </c>
    </row>
    <row r="2514" spans="1:6">
      <c r="A2514" s="149" t="s">
        <v>2962</v>
      </c>
      <c r="B2514" s="146" t="s">
        <v>2570</v>
      </c>
      <c r="C2514" s="44">
        <v>13562</v>
      </c>
      <c r="D2514" s="153">
        <f t="shared" si="39"/>
        <v>0.84762500000000007</v>
      </c>
      <c r="E2514" s="43">
        <v>24122.66999895866</v>
      </c>
      <c r="F2514" s="43">
        <v>5.9570361206319831</v>
      </c>
    </row>
    <row r="2515" spans="1:6">
      <c r="A2515" s="149" t="s">
        <v>2962</v>
      </c>
      <c r="B2515" s="146" t="s">
        <v>2571</v>
      </c>
      <c r="C2515" s="44">
        <v>13562</v>
      </c>
      <c r="D2515" s="153">
        <f t="shared" si="39"/>
        <v>0.84762500000000007</v>
      </c>
      <c r="E2515" s="43">
        <v>24122.66999895866</v>
      </c>
      <c r="F2515" s="43">
        <v>5.9570361206319831</v>
      </c>
    </row>
    <row r="2516" spans="1:6">
      <c r="A2516" s="149" t="s">
        <v>2962</v>
      </c>
      <c r="B2516" s="146" t="s">
        <v>2572</v>
      </c>
      <c r="C2516" s="44">
        <v>13562</v>
      </c>
      <c r="D2516" s="153">
        <f t="shared" si="39"/>
        <v>0.84762500000000007</v>
      </c>
      <c r="E2516" s="43">
        <v>24122.66999895866</v>
      </c>
      <c r="F2516" s="43">
        <v>5.9570361206319831</v>
      </c>
    </row>
    <row r="2517" spans="1:6">
      <c r="A2517" s="149" t="s">
        <v>2962</v>
      </c>
      <c r="B2517" s="146" t="s">
        <v>2573</v>
      </c>
      <c r="C2517" s="44">
        <v>13561</v>
      </c>
      <c r="D2517" s="153">
        <f t="shared" si="39"/>
        <v>0.8475625</v>
      </c>
      <c r="E2517" s="43">
        <v>24120.893424272399</v>
      </c>
      <c r="F2517" s="43">
        <v>5.9585345047393048</v>
      </c>
    </row>
    <row r="2518" spans="1:6">
      <c r="A2518" s="149" t="s">
        <v>2962</v>
      </c>
      <c r="B2518" s="146" t="s">
        <v>2574</v>
      </c>
      <c r="C2518" s="44">
        <v>13562</v>
      </c>
      <c r="D2518" s="153">
        <f t="shared" si="39"/>
        <v>0.84762500000000007</v>
      </c>
      <c r="E2518" s="43">
        <v>24122.66999895866</v>
      </c>
      <c r="F2518" s="43">
        <v>5.9570361206319831</v>
      </c>
    </row>
    <row r="2519" spans="1:6">
      <c r="A2519" s="149" t="s">
        <v>2962</v>
      </c>
      <c r="B2519" s="146" t="s">
        <v>2575</v>
      </c>
      <c r="C2519" s="44">
        <v>13562</v>
      </c>
      <c r="D2519" s="153">
        <f t="shared" si="39"/>
        <v>0.84762500000000007</v>
      </c>
      <c r="E2519" s="43">
        <v>24122.66999895866</v>
      </c>
      <c r="F2519" s="43">
        <v>5.9570361206319831</v>
      </c>
    </row>
    <row r="2520" spans="1:6">
      <c r="A2520" s="149" t="s">
        <v>2962</v>
      </c>
      <c r="B2520" s="146" t="s">
        <v>2576</v>
      </c>
      <c r="C2520" s="44">
        <v>13562</v>
      </c>
      <c r="D2520" s="153">
        <f t="shared" si="39"/>
        <v>0.84762500000000007</v>
      </c>
      <c r="E2520" s="43">
        <v>24122.66999895866</v>
      </c>
      <c r="F2520" s="43">
        <v>5.9570361206319831</v>
      </c>
    </row>
    <row r="2521" spans="1:6">
      <c r="A2521" s="149" t="s">
        <v>2962</v>
      </c>
      <c r="B2521" s="146" t="s">
        <v>2577</v>
      </c>
      <c r="C2521" s="44">
        <v>13561</v>
      </c>
      <c r="D2521" s="153">
        <f t="shared" si="39"/>
        <v>0.8475625</v>
      </c>
      <c r="E2521" s="43">
        <v>24120.893424272399</v>
      </c>
      <c r="F2521" s="43">
        <v>5.9585345047393048</v>
      </c>
    </row>
    <row r="2522" spans="1:6">
      <c r="A2522" s="149" t="s">
        <v>2962</v>
      </c>
      <c r="B2522" s="146" t="s">
        <v>2578</v>
      </c>
      <c r="C2522" s="44">
        <v>13561</v>
      </c>
      <c r="D2522" s="153">
        <f t="shared" si="39"/>
        <v>0.8475625</v>
      </c>
      <c r="E2522" s="43">
        <v>24120.893424272399</v>
      </c>
      <c r="F2522" s="43">
        <v>5.9585345047393048</v>
      </c>
    </row>
    <row r="2523" spans="1:6">
      <c r="A2523" s="149" t="s">
        <v>2962</v>
      </c>
      <c r="B2523" s="146" t="s">
        <v>2579</v>
      </c>
      <c r="C2523" s="44">
        <v>13560</v>
      </c>
      <c r="D2523" s="153">
        <f t="shared" si="39"/>
        <v>0.84750000000000003</v>
      </c>
      <c r="E2523" s="43">
        <v>24119.117034568928</v>
      </c>
      <c r="F2523" s="43">
        <v>5.9600328570620036</v>
      </c>
    </row>
    <row r="2524" spans="1:6">
      <c r="A2524" s="149" t="s">
        <v>2962</v>
      </c>
      <c r="B2524" s="146" t="s">
        <v>2580</v>
      </c>
      <c r="C2524" s="44">
        <v>13559</v>
      </c>
      <c r="D2524" s="153">
        <f t="shared" si="39"/>
        <v>0.84743750000000007</v>
      </c>
      <c r="E2524" s="43">
        <v>24117.340829819357</v>
      </c>
      <c r="F2524" s="43">
        <v>5.9615311776052522</v>
      </c>
    </row>
    <row r="2525" spans="1:6">
      <c r="A2525" s="149" t="s">
        <v>2962</v>
      </c>
      <c r="B2525" s="146" t="s">
        <v>2581</v>
      </c>
      <c r="C2525" s="44">
        <v>13556</v>
      </c>
      <c r="D2525" s="153">
        <f t="shared" si="39"/>
        <v>0.84725000000000006</v>
      </c>
      <c r="E2525" s="43">
        <v>24112.013325005206</v>
      </c>
      <c r="F2525" s="43">
        <v>5.9660259486085465</v>
      </c>
    </row>
    <row r="2526" spans="1:6">
      <c r="A2526" s="149" t="s">
        <v>2962</v>
      </c>
      <c r="B2526" s="146" t="s">
        <v>2582</v>
      </c>
      <c r="C2526" s="44">
        <v>13553</v>
      </c>
      <c r="D2526" s="153">
        <f t="shared" si="39"/>
        <v>0.84706250000000005</v>
      </c>
      <c r="E2526" s="43">
        <v>24106.687483736663</v>
      </c>
      <c r="F2526" s="43">
        <v>5.9705204337793134</v>
      </c>
    </row>
    <row r="2527" spans="1:6">
      <c r="A2527" s="149" t="s">
        <v>2962</v>
      </c>
      <c r="B2527" s="146" t="s">
        <v>2583</v>
      </c>
      <c r="C2527" s="44">
        <v>13548</v>
      </c>
      <c r="D2527" s="153">
        <f t="shared" si="39"/>
        <v>0.84675</v>
      </c>
      <c r="E2527" s="43">
        <v>24097.814776274714</v>
      </c>
      <c r="F2527" s="43">
        <v>5.9780106075864978</v>
      </c>
    </row>
    <row r="2528" spans="1:6">
      <c r="A2528" s="149" t="s">
        <v>2962</v>
      </c>
      <c r="B2528" s="146" t="s">
        <v>2584</v>
      </c>
      <c r="C2528" s="44">
        <v>13543</v>
      </c>
      <c r="D2528" s="153">
        <f t="shared" si="39"/>
        <v>0.84643750000000006</v>
      </c>
      <c r="E2528" s="43">
        <v>24088.946684005201</v>
      </c>
      <c r="F2528" s="43">
        <v>5.9854999884304334</v>
      </c>
    </row>
    <row r="2529" spans="1:6">
      <c r="A2529" s="149" t="s">
        <v>2962</v>
      </c>
      <c r="B2529" s="146" t="s">
        <v>2585</v>
      </c>
      <c r="C2529" s="44">
        <v>13536</v>
      </c>
      <c r="D2529" s="153">
        <f t="shared" si="39"/>
        <v>0.84599999999999997</v>
      </c>
      <c r="E2529" s="43">
        <v>24076.539101497503</v>
      </c>
      <c r="F2529" s="43">
        <v>5.9959837906417306</v>
      </c>
    </row>
    <row r="2530" spans="1:6">
      <c r="A2530" s="149" t="s">
        <v>2962</v>
      </c>
      <c r="B2530" s="146" t="s">
        <v>2586</v>
      </c>
      <c r="C2530" s="44">
        <v>13529</v>
      </c>
      <c r="D2530" s="153">
        <f t="shared" si="39"/>
        <v>0.84556249999999999</v>
      </c>
      <c r="E2530" s="43">
        <v>24064.140547845524</v>
      </c>
      <c r="F2530" s="43">
        <v>6.0064660416285847</v>
      </c>
    </row>
    <row r="2531" spans="1:6">
      <c r="A2531" s="149" t="s">
        <v>2962</v>
      </c>
      <c r="B2531" s="146" t="s">
        <v>2587</v>
      </c>
      <c r="C2531" s="44">
        <v>13520</v>
      </c>
      <c r="D2531" s="153">
        <f t="shared" si="39"/>
        <v>0.84499999999999997</v>
      </c>
      <c r="E2531" s="43">
        <v>24048.21280133001</v>
      </c>
      <c r="F2531" s="43">
        <v>6.0199409449161294</v>
      </c>
    </row>
    <row r="2532" spans="1:6">
      <c r="A2532" s="149" t="s">
        <v>2962</v>
      </c>
      <c r="B2532" s="146" t="s">
        <v>2588</v>
      </c>
      <c r="C2532" s="44">
        <v>13511</v>
      </c>
      <c r="D2532" s="153">
        <f t="shared" si="39"/>
        <v>0.84443750000000006</v>
      </c>
      <c r="E2532" s="43">
        <v>24032.299942877915</v>
      </c>
      <c r="F2532" s="43">
        <v>6.033413290499368</v>
      </c>
    </row>
    <row r="2533" spans="1:6">
      <c r="A2533" s="149" t="s">
        <v>2962</v>
      </c>
      <c r="B2533" s="146" t="s">
        <v>2589</v>
      </c>
      <c r="C2533" s="44">
        <v>13500</v>
      </c>
      <c r="D2533" s="153">
        <f t="shared" si="39"/>
        <v>0.84375</v>
      </c>
      <c r="E2533" s="43">
        <v>24012.87108158605</v>
      </c>
      <c r="F2533" s="43">
        <v>6.0498760226083732</v>
      </c>
    </row>
    <row r="2534" spans="1:6">
      <c r="A2534" s="149" t="s">
        <v>2962</v>
      </c>
      <c r="B2534" s="146" t="s">
        <v>2590</v>
      </c>
      <c r="C2534" s="44">
        <v>13489</v>
      </c>
      <c r="D2534" s="153">
        <f t="shared" si="39"/>
        <v>0.84306250000000005</v>
      </c>
      <c r="E2534" s="43">
        <v>23993.464391306603</v>
      </c>
      <c r="F2534" s="43">
        <v>6.0663349461794951</v>
      </c>
    </row>
    <row r="2535" spans="1:6">
      <c r="A2535" s="149" t="s">
        <v>2962</v>
      </c>
      <c r="B2535" s="146" t="s">
        <v>2591</v>
      </c>
      <c r="C2535" s="44">
        <v>13476</v>
      </c>
      <c r="D2535" s="153">
        <f t="shared" si="39"/>
        <v>0.84225000000000005</v>
      </c>
      <c r="E2535" s="43">
        <v>23970.55774414265</v>
      </c>
      <c r="F2535" s="43">
        <v>6.0857815003080304</v>
      </c>
    </row>
    <row r="2536" spans="1:6">
      <c r="A2536" s="149" t="s">
        <v>2962</v>
      </c>
      <c r="B2536" s="146" t="s">
        <v>2592</v>
      </c>
      <c r="C2536" s="44">
        <v>13463</v>
      </c>
      <c r="D2536" s="153">
        <f t="shared" si="39"/>
        <v>0.84143750000000006</v>
      </c>
      <c r="E2536" s="43">
        <v>23947.681947681947</v>
      </c>
      <c r="F2536" s="43">
        <v>6.1052227555163086</v>
      </c>
    </row>
    <row r="2537" spans="1:6">
      <c r="A2537" s="149" t="s">
        <v>2962</v>
      </c>
      <c r="B2537" s="146" t="s">
        <v>2593</v>
      </c>
      <c r="C2537" s="44">
        <v>13449</v>
      </c>
      <c r="D2537" s="153">
        <f t="shared" si="39"/>
        <v>0.84056249999999999</v>
      </c>
      <c r="E2537" s="43">
        <v>23923.080904808736</v>
      </c>
      <c r="F2537" s="43">
        <v>6.1261535785548631</v>
      </c>
    </row>
    <row r="2538" spans="1:6">
      <c r="A2538" s="149" t="s">
        <v>2962</v>
      </c>
      <c r="B2538" s="146" t="s">
        <v>2594</v>
      </c>
      <c r="C2538" s="44">
        <v>13435</v>
      </c>
      <c r="D2538" s="153">
        <f t="shared" si="39"/>
        <v>0.83968750000000003</v>
      </c>
      <c r="E2538" s="43">
        <v>23898.515491646409</v>
      </c>
      <c r="F2538" s="43">
        <v>6.1470782826880281</v>
      </c>
    </row>
    <row r="2539" spans="1:6">
      <c r="A2539" s="149" t="s">
        <v>2962</v>
      </c>
      <c r="B2539" s="146" t="s">
        <v>2595</v>
      </c>
      <c r="C2539" s="44">
        <v>13420</v>
      </c>
      <c r="D2539" s="153">
        <f t="shared" si="39"/>
        <v>0.83875</v>
      </c>
      <c r="E2539" s="43">
        <v>23872.234856315899</v>
      </c>
      <c r="F2539" s="43">
        <v>6.1694908340561483</v>
      </c>
    </row>
    <row r="2540" spans="1:6">
      <c r="A2540" s="149" t="s">
        <v>2962</v>
      </c>
      <c r="B2540" s="146" t="s">
        <v>2596</v>
      </c>
      <c r="C2540" s="44">
        <v>13404</v>
      </c>
      <c r="D2540" s="153">
        <f t="shared" si="39"/>
        <v>0.83774999999999999</v>
      </c>
      <c r="E2540" s="43">
        <v>23844.247056393306</v>
      </c>
      <c r="F2540" s="43">
        <v>6.1933898496489519</v>
      </c>
    </row>
    <row r="2541" spans="1:6">
      <c r="A2541" s="149" t="s">
        <v>2962</v>
      </c>
      <c r="B2541" s="146" t="s">
        <v>2597</v>
      </c>
      <c r="C2541" s="44">
        <v>13389</v>
      </c>
      <c r="D2541" s="153">
        <f t="shared" si="39"/>
        <v>0.83681250000000007</v>
      </c>
      <c r="E2541" s="43">
        <v>23818.050467000361</v>
      </c>
      <c r="F2541" s="43">
        <v>6.2157879703172512</v>
      </c>
    </row>
    <row r="2542" spans="1:6">
      <c r="A2542" s="149" t="s">
        <v>2962</v>
      </c>
      <c r="B2542" s="146" t="s">
        <v>2598</v>
      </c>
      <c r="C2542" s="44">
        <v>13373</v>
      </c>
      <c r="D2542" s="153">
        <f t="shared" si="39"/>
        <v>0.83581250000000007</v>
      </c>
      <c r="E2542" s="43">
        <v>23790.152101056974</v>
      </c>
      <c r="F2542" s="43">
        <v>6.2396716315122376</v>
      </c>
    </row>
    <row r="2543" spans="1:6">
      <c r="A2543" s="149" t="s">
        <v>2962</v>
      </c>
      <c r="B2543" s="146" t="s">
        <v>2599</v>
      </c>
      <c r="C2543" s="44">
        <v>13358</v>
      </c>
      <c r="D2543" s="153">
        <f t="shared" si="39"/>
        <v>0.83487500000000003</v>
      </c>
      <c r="E2543" s="43">
        <v>23764.039155074704</v>
      </c>
      <c r="F2543" s="43">
        <v>6.2620553933165866</v>
      </c>
    </row>
    <row r="2544" spans="1:6">
      <c r="A2544" s="149" t="s">
        <v>2962</v>
      </c>
      <c r="B2544" s="146" t="s">
        <v>2600</v>
      </c>
      <c r="C2544" s="44">
        <v>13342</v>
      </c>
      <c r="D2544" s="153">
        <f t="shared" si="39"/>
        <v>0.83387500000000003</v>
      </c>
      <c r="E2544" s="43">
        <v>23736.229795119943</v>
      </c>
      <c r="F2544" s="43">
        <v>6.28592377659254</v>
      </c>
    </row>
    <row r="2545" spans="1:6">
      <c r="A2545" s="149" t="s">
        <v>2962</v>
      </c>
      <c r="B2545" s="146" t="s">
        <v>2601</v>
      </c>
      <c r="C2545" s="44">
        <v>13327</v>
      </c>
      <c r="D2545" s="153">
        <f t="shared" si="39"/>
        <v>0.8329375</v>
      </c>
      <c r="E2545" s="43">
        <v>23710.200092587831</v>
      </c>
      <c r="F2545" s="43">
        <v>6.3082932510952787</v>
      </c>
    </row>
    <row r="2546" spans="1:6">
      <c r="A2546" s="149" t="s">
        <v>2962</v>
      </c>
      <c r="B2546" s="146" t="s">
        <v>2602</v>
      </c>
      <c r="C2546" s="44">
        <v>13312</v>
      </c>
      <c r="D2546" s="153">
        <f t="shared" si="39"/>
        <v>0.83200000000000007</v>
      </c>
      <c r="E2546" s="43">
        <v>23684.21052631579</v>
      </c>
      <c r="F2546" s="43">
        <v>6.3306558379977105</v>
      </c>
    </row>
    <row r="2547" spans="1:6">
      <c r="A2547" s="149" t="s">
        <v>2962</v>
      </c>
      <c r="B2547" s="146" t="s">
        <v>2603</v>
      </c>
      <c r="C2547" s="44">
        <v>13297</v>
      </c>
      <c r="D2547" s="153">
        <f t="shared" si="39"/>
        <v>0.83106250000000004</v>
      </c>
      <c r="E2547" s="43">
        <v>23658.261003543732</v>
      </c>
      <c r="F2547" s="43">
        <v>6.3530115539605276</v>
      </c>
    </row>
    <row r="2548" spans="1:6">
      <c r="A2548" s="149" t="s">
        <v>2962</v>
      </c>
      <c r="B2548" s="146" t="s">
        <v>2604</v>
      </c>
      <c r="C2548" s="44">
        <v>13282</v>
      </c>
      <c r="D2548" s="153">
        <f t="shared" si="39"/>
        <v>0.830125</v>
      </c>
      <c r="E2548" s="43">
        <v>23632.351431797189</v>
      </c>
      <c r="F2548" s="43">
        <v>6.375360415614125</v>
      </c>
    </row>
    <row r="2549" spans="1:6">
      <c r="A2549" s="149" t="s">
        <v>2962</v>
      </c>
      <c r="B2549" s="146" t="s">
        <v>2605</v>
      </c>
      <c r="C2549" s="44">
        <v>13268</v>
      </c>
      <c r="D2549" s="153">
        <f t="shared" si="39"/>
        <v>0.82925000000000004</v>
      </c>
      <c r="E2549" s="43">
        <v>23608.205128205129</v>
      </c>
      <c r="F2549" s="43">
        <v>6.3962131836914864</v>
      </c>
    </row>
    <row r="2550" spans="1:6">
      <c r="A2550" s="149" t="s">
        <v>2962</v>
      </c>
      <c r="B2550" s="146" t="s">
        <v>2606</v>
      </c>
      <c r="C2550" s="44">
        <v>13254</v>
      </c>
      <c r="D2550" s="153">
        <f t="shared" si="39"/>
        <v>0.82837499999999997</v>
      </c>
      <c r="E2550" s="43">
        <v>23584.093471353899</v>
      </c>
      <c r="F2550" s="43">
        <v>6.4170600088368133</v>
      </c>
    </row>
    <row r="2551" spans="1:6">
      <c r="A2551" s="149" t="s">
        <v>2962</v>
      </c>
      <c r="B2551" s="146" t="s">
        <v>2607</v>
      </c>
      <c r="C2551" s="44">
        <v>13240</v>
      </c>
      <c r="D2551" s="153">
        <f t="shared" si="39"/>
        <v>0.82750000000000001</v>
      </c>
      <c r="E2551" s="43">
        <v>23560.016386726751</v>
      </c>
      <c r="F2551" s="43">
        <v>6.4379009044995428</v>
      </c>
    </row>
    <row r="2552" spans="1:6">
      <c r="A2552" s="149" t="s">
        <v>2962</v>
      </c>
      <c r="B2552" s="146" t="s">
        <v>2608</v>
      </c>
      <c r="C2552" s="44">
        <v>13227</v>
      </c>
      <c r="D2552" s="153">
        <f t="shared" si="39"/>
        <v>0.82668750000000002</v>
      </c>
      <c r="E2552" s="43">
        <v>23537.68998515941</v>
      </c>
      <c r="F2552" s="43">
        <v>6.4572478671871067</v>
      </c>
    </row>
    <row r="2553" spans="1:6">
      <c r="A2553" s="149" t="s">
        <v>2962</v>
      </c>
      <c r="B2553" s="146" t="s">
        <v>2609</v>
      </c>
      <c r="C2553" s="44">
        <v>13214</v>
      </c>
      <c r="D2553" s="153">
        <f t="shared" si="39"/>
        <v>0.82587500000000003</v>
      </c>
      <c r="E2553" s="43">
        <v>23515.393269919197</v>
      </c>
      <c r="F2553" s="43">
        <v>6.4765897395182606</v>
      </c>
    </row>
    <row r="2554" spans="1:6">
      <c r="A2554" s="149" t="s">
        <v>2962</v>
      </c>
      <c r="B2554" s="146" t="s">
        <v>2610</v>
      </c>
      <c r="C2554" s="44">
        <v>13201</v>
      </c>
      <c r="D2554" s="153">
        <f t="shared" si="39"/>
        <v>0.82506250000000003</v>
      </c>
      <c r="E2554" s="43">
        <v>23493.126181836768</v>
      </c>
      <c r="F2554" s="43">
        <v>6.4959265322086708</v>
      </c>
    </row>
    <row r="2555" spans="1:6">
      <c r="A2555" s="149" t="s">
        <v>2962</v>
      </c>
      <c r="B2555" s="146" t="s">
        <v>2611</v>
      </c>
      <c r="C2555" s="44">
        <v>13189</v>
      </c>
      <c r="D2555" s="153">
        <f t="shared" si="39"/>
        <v>0.8243125</v>
      </c>
      <c r="E2555" s="43">
        <v>23472.598191940346</v>
      </c>
      <c r="F2555" s="43">
        <v>6.5137713800033907</v>
      </c>
    </row>
    <row r="2556" spans="1:6">
      <c r="A2556" s="149" t="s">
        <v>2962</v>
      </c>
      <c r="B2556" s="146" t="s">
        <v>2612</v>
      </c>
      <c r="C2556" s="44">
        <v>13177</v>
      </c>
      <c r="D2556" s="153">
        <f t="shared" si="39"/>
        <v>0.82356249999999998</v>
      </c>
      <c r="E2556" s="43">
        <v>23452.095349905569</v>
      </c>
      <c r="F2556" s="43">
        <v>6.5316119171019409</v>
      </c>
    </row>
    <row r="2557" spans="1:6">
      <c r="A2557" s="149" t="s">
        <v>2962</v>
      </c>
      <c r="B2557" s="146" t="s">
        <v>2613</v>
      </c>
      <c r="C2557" s="44">
        <v>13166</v>
      </c>
      <c r="D2557" s="153">
        <f t="shared" si="39"/>
        <v>0.82287500000000002</v>
      </c>
      <c r="E2557" s="43">
        <v>23433.323130292829</v>
      </c>
      <c r="F2557" s="43">
        <v>6.5479619631146875</v>
      </c>
    </row>
    <row r="2558" spans="1:6">
      <c r="A2558" s="149" t="s">
        <v>2962</v>
      </c>
      <c r="B2558" s="146" t="s">
        <v>2614</v>
      </c>
      <c r="C2558" s="44">
        <v>13156</v>
      </c>
      <c r="D2558" s="153">
        <f t="shared" si="39"/>
        <v>0.82225000000000004</v>
      </c>
      <c r="E2558" s="43">
        <v>23416.275749541099</v>
      </c>
      <c r="F2558" s="43">
        <v>6.5628225096405686</v>
      </c>
    </row>
    <row r="2559" spans="1:6">
      <c r="A2559" s="149" t="s">
        <v>2962</v>
      </c>
      <c r="B2559" s="146" t="s">
        <v>2615</v>
      </c>
      <c r="C2559" s="44">
        <v>13146</v>
      </c>
      <c r="D2559" s="153">
        <f t="shared" si="39"/>
        <v>0.82162500000000005</v>
      </c>
      <c r="E2559" s="43">
        <v>23399.245744572418</v>
      </c>
      <c r="F2559" s="43">
        <v>6.5776800786298395</v>
      </c>
    </row>
    <row r="2560" spans="1:6">
      <c r="A2560" s="149" t="s">
        <v>2962</v>
      </c>
      <c r="B2560" s="146" t="s">
        <v>2616</v>
      </c>
      <c r="C2560" s="44">
        <v>13136</v>
      </c>
      <c r="D2560" s="153">
        <f t="shared" si="39"/>
        <v>0.82100000000000006</v>
      </c>
      <c r="E2560" s="43">
        <v>23382.233088834557</v>
      </c>
      <c r="F2560" s="43">
        <v>6.5925346749192499</v>
      </c>
    </row>
    <row r="2561" spans="1:6">
      <c r="A2561" s="149" t="s">
        <v>2962</v>
      </c>
      <c r="B2561" s="146" t="s">
        <v>2617</v>
      </c>
      <c r="C2561" s="44">
        <v>13126</v>
      </c>
      <c r="D2561" s="153">
        <f t="shared" si="39"/>
        <v>0.82037499999999997</v>
      </c>
      <c r="E2561" s="43">
        <v>23365.237755829345</v>
      </c>
      <c r="F2561" s="43">
        <v>6.6073863033396378</v>
      </c>
    </row>
    <row r="2562" spans="1:6">
      <c r="A2562" s="149" t="s">
        <v>2962</v>
      </c>
      <c r="B2562" s="146" t="s">
        <v>2618</v>
      </c>
      <c r="C2562" s="44">
        <v>13117</v>
      </c>
      <c r="D2562" s="153">
        <f t="shared" si="39"/>
        <v>0.81981250000000006</v>
      </c>
      <c r="E2562" s="43">
        <v>23349.956745203806</v>
      </c>
      <c r="F2562" s="43">
        <v>6.6207502353780114</v>
      </c>
    </row>
    <row r="2563" spans="1:6">
      <c r="A2563" s="149" t="s">
        <v>2962</v>
      </c>
      <c r="B2563" s="146" t="s">
        <v>2619</v>
      </c>
      <c r="C2563" s="44">
        <v>13108</v>
      </c>
      <c r="D2563" s="153">
        <f t="shared" si="39"/>
        <v>0.81925000000000003</v>
      </c>
      <c r="E2563" s="43">
        <v>23334.68972533062</v>
      </c>
      <c r="F2563" s="43">
        <v>6.6341117708641377</v>
      </c>
    </row>
    <row r="2564" spans="1:6">
      <c r="A2564" s="149" t="s">
        <v>2962</v>
      </c>
      <c r="B2564" s="146" t="s">
        <v>2620</v>
      </c>
      <c r="C2564" s="44">
        <v>13100</v>
      </c>
      <c r="D2564" s="153">
        <f t="shared" si="39"/>
        <v>0.81874999999999998</v>
      </c>
      <c r="E2564" s="43">
        <v>23321.1307707952</v>
      </c>
      <c r="F2564" s="43">
        <v>6.6459866822133336</v>
      </c>
    </row>
    <row r="2565" spans="1:6">
      <c r="A2565" s="149" t="s">
        <v>2962</v>
      </c>
      <c r="B2565" s="146" t="s">
        <v>2621</v>
      </c>
      <c r="C2565" s="44">
        <v>13092</v>
      </c>
      <c r="D2565" s="153">
        <f t="shared" si="39"/>
        <v>0.81825000000000003</v>
      </c>
      <c r="E2565" s="43">
        <v>23307.582842041065</v>
      </c>
      <c r="F2565" s="43">
        <v>6.657859705225917</v>
      </c>
    </row>
    <row r="2566" spans="1:6">
      <c r="A2566" s="149" t="s">
        <v>2962</v>
      </c>
      <c r="B2566" s="146" t="s">
        <v>2622</v>
      </c>
      <c r="C2566" s="44">
        <v>13085</v>
      </c>
      <c r="D2566" s="153">
        <f t="shared" si="39"/>
        <v>0.81781250000000005</v>
      </c>
      <c r="E2566" s="43">
        <v>23295.737438398617</v>
      </c>
      <c r="F2566" s="43">
        <v>6.6682470532699654</v>
      </c>
    </row>
    <row r="2567" spans="1:6">
      <c r="A2567" s="149" t="s">
        <v>2962</v>
      </c>
      <c r="B2567" s="146" t="s">
        <v>2623</v>
      </c>
      <c r="C2567" s="44">
        <v>13077</v>
      </c>
      <c r="D2567" s="153">
        <f t="shared" ref="D2567:D2630" si="40">C2567/32768*4.096/2</f>
        <v>0.8173125</v>
      </c>
      <c r="E2567" s="43">
        <v>23282.21014676756</v>
      </c>
      <c r="F2567" s="43">
        <v>6.6801165422803592</v>
      </c>
    </row>
    <row r="2568" spans="1:6">
      <c r="A2568" s="149" t="s">
        <v>2962</v>
      </c>
      <c r="B2568" s="146" t="s">
        <v>2624</v>
      </c>
      <c r="C2568" s="44">
        <v>13070</v>
      </c>
      <c r="D2568" s="153">
        <f t="shared" si="40"/>
        <v>0.81687500000000002</v>
      </c>
      <c r="E2568" s="43">
        <v>23270.382779977663</v>
      </c>
      <c r="F2568" s="43">
        <v>6.690500801851158</v>
      </c>
    </row>
    <row r="2569" spans="1:6">
      <c r="A2569" s="149" t="s">
        <v>2962</v>
      </c>
      <c r="B2569" s="146" t="s">
        <v>2625</v>
      </c>
      <c r="C2569" s="44">
        <v>13064</v>
      </c>
      <c r="D2569" s="153">
        <f t="shared" si="40"/>
        <v>0.8165</v>
      </c>
      <c r="E2569" s="43">
        <v>23260.251725537961</v>
      </c>
      <c r="F2569" s="43">
        <v>6.6994004506160536</v>
      </c>
    </row>
    <row r="2570" spans="1:6">
      <c r="A2570" s="149" t="s">
        <v>2962</v>
      </c>
      <c r="B2570" s="146" t="s">
        <v>2626</v>
      </c>
      <c r="C2570" s="44">
        <v>13058</v>
      </c>
      <c r="D2570" s="153">
        <f t="shared" si="40"/>
        <v>0.81612499999999999</v>
      </c>
      <c r="E2570" s="43">
        <v>23250.126839167937</v>
      </c>
      <c r="F2570" s="43">
        <v>6.7082990434082035</v>
      </c>
    </row>
    <row r="2571" spans="1:6">
      <c r="A2571" s="149" t="s">
        <v>2962</v>
      </c>
      <c r="B2571" s="146" t="s">
        <v>2627</v>
      </c>
      <c r="C2571" s="44">
        <v>13051</v>
      </c>
      <c r="D2571" s="153">
        <f t="shared" si="40"/>
        <v>0.81568750000000001</v>
      </c>
      <c r="E2571" s="43">
        <v>23238.322259978697</v>
      </c>
      <c r="F2571" s="43">
        <v>6.7186794017458737</v>
      </c>
    </row>
    <row r="2572" spans="1:6">
      <c r="A2572" s="149" t="s">
        <v>2962</v>
      </c>
      <c r="B2572" s="146" t="s">
        <v>2628</v>
      </c>
      <c r="C2572" s="44">
        <v>13046</v>
      </c>
      <c r="D2572" s="153">
        <f t="shared" si="40"/>
        <v>0.81537500000000007</v>
      </c>
      <c r="E2572" s="43">
        <v>23229.895548118853</v>
      </c>
      <c r="F2572" s="43">
        <v>6.726093065208147</v>
      </c>
    </row>
    <row r="2573" spans="1:6">
      <c r="A2573" s="149" t="s">
        <v>2962</v>
      </c>
      <c r="B2573" s="146" t="s">
        <v>2629</v>
      </c>
      <c r="C2573" s="44">
        <v>13040</v>
      </c>
      <c r="D2573" s="153">
        <f t="shared" si="40"/>
        <v>0.81500000000000006</v>
      </c>
      <c r="E2573" s="43">
        <v>23219.78913219789</v>
      </c>
      <c r="F2573" s="43">
        <v>6.7349884962806641</v>
      </c>
    </row>
    <row r="2574" spans="1:6">
      <c r="A2574" s="149" t="s">
        <v>2962</v>
      </c>
      <c r="B2574" s="146" t="s">
        <v>2630</v>
      </c>
      <c r="C2574" s="44">
        <v>13035</v>
      </c>
      <c r="D2574" s="153">
        <f t="shared" si="40"/>
        <v>0.81468750000000001</v>
      </c>
      <c r="E2574" s="43">
        <v>23211.371813713071</v>
      </c>
      <c r="F2574" s="43">
        <v>6.7424005519729349</v>
      </c>
    </row>
    <row r="2575" spans="1:6">
      <c r="A2575" s="149" t="s">
        <v>2962</v>
      </c>
      <c r="B2575" s="146" t="s">
        <v>2631</v>
      </c>
      <c r="C2575" s="44">
        <v>13030</v>
      </c>
      <c r="D2575" s="153">
        <f t="shared" si="40"/>
        <v>0.81437500000000007</v>
      </c>
      <c r="E2575" s="43">
        <v>23202.958759752761</v>
      </c>
      <c r="F2575" s="43">
        <v>6.7498118778149774</v>
      </c>
    </row>
    <row r="2576" spans="1:6">
      <c r="A2576" s="149" t="s">
        <v>2962</v>
      </c>
      <c r="B2576" s="146" t="s">
        <v>2632</v>
      </c>
      <c r="C2576" s="44">
        <v>13025</v>
      </c>
      <c r="D2576" s="153">
        <f t="shared" si="40"/>
        <v>0.81406250000000002</v>
      </c>
      <c r="E2576" s="43">
        <v>23194.549967076939</v>
      </c>
      <c r="F2576" s="43">
        <v>6.7572224744031359</v>
      </c>
    </row>
    <row r="2577" spans="1:6">
      <c r="A2577" s="149" t="s">
        <v>2962</v>
      </c>
      <c r="B2577" s="146" t="s">
        <v>2633</v>
      </c>
      <c r="C2577" s="44">
        <v>13021</v>
      </c>
      <c r="D2577" s="153">
        <f t="shared" si="40"/>
        <v>0.81381250000000005</v>
      </c>
      <c r="E2577" s="43">
        <v>23187.825998885906</v>
      </c>
      <c r="F2577" s="43">
        <v>6.7631504270111691</v>
      </c>
    </row>
    <row r="2578" spans="1:6">
      <c r="A2578" s="149" t="s">
        <v>2962</v>
      </c>
      <c r="B2578" s="146" t="s">
        <v>2634</v>
      </c>
      <c r="C2578" s="44">
        <v>13016</v>
      </c>
      <c r="D2578" s="153">
        <f t="shared" si="40"/>
        <v>0.8135</v>
      </c>
      <c r="E2578" s="43">
        <v>23179.424868367762</v>
      </c>
      <c r="F2578" s="43">
        <v>6.7705597124430028</v>
      </c>
    </row>
    <row r="2579" spans="1:6">
      <c r="A2579" s="149" t="s">
        <v>2962</v>
      </c>
      <c r="B2579" s="146" t="s">
        <v>2635</v>
      </c>
      <c r="C2579" s="44">
        <v>13012</v>
      </c>
      <c r="D2579" s="153">
        <f t="shared" si="40"/>
        <v>0.81325000000000003</v>
      </c>
      <c r="E2579" s="43">
        <v>23172.707025713706</v>
      </c>
      <c r="F2579" s="43">
        <v>6.7764866168975004</v>
      </c>
    </row>
    <row r="2580" spans="1:6">
      <c r="A2580" s="149" t="s">
        <v>2962</v>
      </c>
      <c r="B2580" s="146" t="s">
        <v>2636</v>
      </c>
      <c r="C2580" s="44">
        <v>13008</v>
      </c>
      <c r="D2580" s="153">
        <f t="shared" si="40"/>
        <v>0.81300000000000006</v>
      </c>
      <c r="E2580" s="43">
        <v>23165.991902834008</v>
      </c>
      <c r="F2580" s="43">
        <v>6.7824130560008484</v>
      </c>
    </row>
    <row r="2581" spans="1:6">
      <c r="A2581" s="149" t="s">
        <v>2962</v>
      </c>
      <c r="B2581" s="146" t="s">
        <v>2637</v>
      </c>
      <c r="C2581" s="44">
        <v>13004</v>
      </c>
      <c r="D2581" s="153">
        <f t="shared" si="40"/>
        <v>0.81274999999999997</v>
      </c>
      <c r="E2581" s="43">
        <v>23159.279498077311</v>
      </c>
      <c r="F2581" s="43">
        <v>6.7883390300574433</v>
      </c>
    </row>
    <row r="2582" spans="1:6">
      <c r="A2582" s="149" t="s">
        <v>2962</v>
      </c>
      <c r="B2582" s="146" t="s">
        <v>2638</v>
      </c>
      <c r="C2582" s="44">
        <v>13001</v>
      </c>
      <c r="D2582" s="153">
        <f t="shared" si="40"/>
        <v>0.81256249999999997</v>
      </c>
      <c r="E2582" s="43">
        <v>23154.246977285373</v>
      </c>
      <c r="F2582" s="43">
        <v>6.7927832055961517</v>
      </c>
    </row>
    <row r="2583" spans="1:6">
      <c r="A2583" s="149" t="s">
        <v>2962</v>
      </c>
      <c r="B2583" s="146" t="s">
        <v>2639</v>
      </c>
      <c r="C2583" s="44">
        <v>12997</v>
      </c>
      <c r="D2583" s="153">
        <f t="shared" si="40"/>
        <v>0.81231249999999999</v>
      </c>
      <c r="E2583" s="43">
        <v>23147.539325274392</v>
      </c>
      <c r="F2583" s="43">
        <v>6.7987083665530577</v>
      </c>
    </row>
    <row r="2584" spans="1:6">
      <c r="A2584" s="149" t="s">
        <v>2962</v>
      </c>
      <c r="B2584" s="146" t="s">
        <v>2640</v>
      </c>
      <c r="C2584" s="44">
        <v>12994</v>
      </c>
      <c r="D2584" s="153">
        <f t="shared" si="40"/>
        <v>0.81212499999999999</v>
      </c>
      <c r="E2584" s="43">
        <v>23142.510367148781</v>
      </c>
      <c r="F2584" s="43">
        <v>6.8031519326159469</v>
      </c>
    </row>
    <row r="2585" spans="1:6">
      <c r="A2585" s="149" t="s">
        <v>2962</v>
      </c>
      <c r="B2585" s="146" t="s">
        <v>2641</v>
      </c>
      <c r="C2585" s="44">
        <v>12991</v>
      </c>
      <c r="D2585" s="153">
        <f t="shared" si="40"/>
        <v>0.81193749999999998</v>
      </c>
      <c r="E2585" s="43">
        <v>23137.482934722153</v>
      </c>
      <c r="F2585" s="43">
        <v>6.8075952376888722</v>
      </c>
    </row>
    <row r="2586" spans="1:6">
      <c r="A2586" s="149" t="s">
        <v>2962</v>
      </c>
      <c r="B2586" s="146" t="s">
        <v>2642</v>
      </c>
      <c r="C2586" s="44">
        <v>12987</v>
      </c>
      <c r="D2586" s="153">
        <f t="shared" si="40"/>
        <v>0.81168750000000001</v>
      </c>
      <c r="E2586" s="43">
        <v>23130.78206359638</v>
      </c>
      <c r="F2586" s="43">
        <v>6.8135192386893095</v>
      </c>
    </row>
    <row r="2587" spans="1:6">
      <c r="A2587" s="149" t="s">
        <v>2962</v>
      </c>
      <c r="B2587" s="146" t="s">
        <v>2643</v>
      </c>
      <c r="C2587" s="44">
        <v>12985</v>
      </c>
      <c r="D2587" s="153">
        <f t="shared" si="40"/>
        <v>0.81156249999999996</v>
      </c>
      <c r="E2587" s="43">
        <v>23127.432644189455</v>
      </c>
      <c r="F2587" s="43">
        <v>6.8164810653764221</v>
      </c>
    </row>
    <row r="2588" spans="1:6">
      <c r="A2588" s="149" t="s">
        <v>2962</v>
      </c>
      <c r="B2588" s="146" t="s">
        <v>2644</v>
      </c>
      <c r="C2588" s="44">
        <v>12982</v>
      </c>
      <c r="D2588" s="153">
        <f t="shared" si="40"/>
        <v>0.81137500000000007</v>
      </c>
      <c r="E2588" s="43">
        <v>23122.40978469625</v>
      </c>
      <c r="F2588" s="43">
        <v>6.8209235882474104</v>
      </c>
    </row>
    <row r="2589" spans="1:6">
      <c r="A2589" s="149" t="s">
        <v>2962</v>
      </c>
      <c r="B2589" s="146" t="s">
        <v>2645</v>
      </c>
      <c r="C2589" s="44">
        <v>12979</v>
      </c>
      <c r="D2589" s="153">
        <f t="shared" si="40"/>
        <v>0.81118750000000006</v>
      </c>
      <c r="E2589" s="43">
        <v>23117.388448127749</v>
      </c>
      <c r="F2589" s="43">
        <v>6.8253658506405372</v>
      </c>
    </row>
    <row r="2590" spans="1:6">
      <c r="A2590" s="149" t="s">
        <v>2962</v>
      </c>
      <c r="B2590" s="146" t="s">
        <v>2646</v>
      </c>
      <c r="C2590" s="44">
        <v>12976</v>
      </c>
      <c r="D2590" s="153">
        <f t="shared" si="40"/>
        <v>0.81100000000000005</v>
      </c>
      <c r="E2590" s="43">
        <v>23112.36863379143</v>
      </c>
      <c r="F2590" s="43">
        <v>6.8298078526837571</v>
      </c>
    </row>
    <row r="2591" spans="1:6">
      <c r="A2591" s="149" t="s">
        <v>2962</v>
      </c>
      <c r="B2591" s="146" t="s">
        <v>2647</v>
      </c>
      <c r="C2591" s="44">
        <v>12974</v>
      </c>
      <c r="D2591" s="153">
        <f t="shared" si="40"/>
        <v>0.81087500000000001</v>
      </c>
      <c r="E2591" s="43">
        <v>23109.022936243306</v>
      </c>
      <c r="F2591" s="43">
        <v>6.8327690428035339</v>
      </c>
    </row>
    <row r="2592" spans="1:6">
      <c r="A2592" s="149" t="s">
        <v>2962</v>
      </c>
      <c r="B2592" s="146" t="s">
        <v>2648</v>
      </c>
      <c r="C2592" s="44">
        <v>12971</v>
      </c>
      <c r="D2592" s="153">
        <f t="shared" si="40"/>
        <v>0.81068750000000001</v>
      </c>
      <c r="E2592" s="43">
        <v>23104.00565742284</v>
      </c>
      <c r="F2592" s="43">
        <v>6.8372106112144593</v>
      </c>
    </row>
    <row r="2593" spans="1:6">
      <c r="A2593" s="149" t="s">
        <v>2962</v>
      </c>
      <c r="B2593" s="146" t="s">
        <v>2649</v>
      </c>
      <c r="C2593" s="44">
        <v>12969</v>
      </c>
      <c r="D2593" s="153">
        <f t="shared" si="40"/>
        <v>0.81056249999999996</v>
      </c>
      <c r="E2593" s="43">
        <v>23100.661649578262</v>
      </c>
      <c r="F2593" s="43">
        <v>6.8401715123644067</v>
      </c>
    </row>
    <row r="2594" spans="1:6">
      <c r="A2594" s="149" t="s">
        <v>2962</v>
      </c>
      <c r="B2594" s="146" t="s">
        <v>2650</v>
      </c>
      <c r="C2594" s="44">
        <v>12967</v>
      </c>
      <c r="D2594" s="153">
        <f t="shared" si="40"/>
        <v>0.81043750000000003</v>
      </c>
      <c r="E2594" s="43">
        <v>23097.318317256704</v>
      </c>
      <c r="F2594" s="43">
        <v>6.8431322979927813</v>
      </c>
    </row>
    <row r="2595" spans="1:6">
      <c r="A2595" s="149" t="s">
        <v>2962</v>
      </c>
      <c r="B2595" s="146" t="s">
        <v>2651</v>
      </c>
      <c r="C2595" s="44">
        <v>12965</v>
      </c>
      <c r="D2595" s="153">
        <f t="shared" si="40"/>
        <v>0.81031249999999999</v>
      </c>
      <c r="E2595" s="43">
        <v>23093.975660253498</v>
      </c>
      <c r="F2595" s="43">
        <v>6.8460929681373273</v>
      </c>
    </row>
    <row r="2596" spans="1:6">
      <c r="A2596" s="149" t="s">
        <v>2962</v>
      </c>
      <c r="B2596" s="146" t="s">
        <v>2652</v>
      </c>
      <c r="C2596" s="44">
        <v>12962</v>
      </c>
      <c r="D2596" s="153">
        <f t="shared" si="40"/>
        <v>0.81012499999999998</v>
      </c>
      <c r="E2596" s="43">
        <v>23088.962940523073</v>
      </c>
      <c r="F2596" s="43">
        <v>6.8505337569048947</v>
      </c>
    </row>
    <row r="2597" spans="1:6">
      <c r="A2597" s="149" t="s">
        <v>2962</v>
      </c>
      <c r="B2597" s="146" t="s">
        <v>2653</v>
      </c>
      <c r="C2597" s="44">
        <v>12960</v>
      </c>
      <c r="D2597" s="153">
        <f t="shared" si="40"/>
        <v>0.81</v>
      </c>
      <c r="E2597" s="43">
        <v>23085.621970920842</v>
      </c>
      <c r="F2597" s="43">
        <v>6.853494138505539</v>
      </c>
    </row>
    <row r="2598" spans="1:6">
      <c r="A2598" s="149" t="s">
        <v>2962</v>
      </c>
      <c r="B2598" s="146" t="s">
        <v>2654</v>
      </c>
      <c r="C2598" s="44">
        <v>12958</v>
      </c>
      <c r="D2598" s="153">
        <f t="shared" si="40"/>
        <v>0.80987500000000001</v>
      </c>
      <c r="E2598" s="43">
        <v>23082.281675921251</v>
      </c>
      <c r="F2598" s="43">
        <v>6.8564544047548566</v>
      </c>
    </row>
    <row r="2599" spans="1:6">
      <c r="A2599" s="149" t="s">
        <v>2962</v>
      </c>
      <c r="B2599" s="146" t="s">
        <v>2655</v>
      </c>
      <c r="C2599" s="44">
        <v>12957</v>
      </c>
      <c r="D2599" s="153">
        <f t="shared" si="40"/>
        <v>0.80981250000000005</v>
      </c>
      <c r="E2599" s="43">
        <v>23080.611781333602</v>
      </c>
      <c r="F2599" s="43">
        <v>6.8579344946346055</v>
      </c>
    </row>
    <row r="2600" spans="1:6">
      <c r="A2600" s="149" t="s">
        <v>2962</v>
      </c>
      <c r="B2600" s="146" t="s">
        <v>2656</v>
      </c>
      <c r="C2600" s="44">
        <v>12955</v>
      </c>
      <c r="D2600" s="153">
        <f t="shared" si="40"/>
        <v>0.8096875</v>
      </c>
      <c r="E2600" s="43">
        <v>23077.272497854945</v>
      </c>
      <c r="F2600" s="43">
        <v>6.8608945879278167</v>
      </c>
    </row>
    <row r="2601" spans="1:6">
      <c r="A2601" s="149" t="s">
        <v>2962</v>
      </c>
      <c r="B2601" s="146" t="s">
        <v>2657</v>
      </c>
      <c r="C2601" s="44">
        <v>12953</v>
      </c>
      <c r="D2601" s="153">
        <f t="shared" si="40"/>
        <v>0.80956249999999996</v>
      </c>
      <c r="E2601" s="43">
        <v>23073.933888468331</v>
      </c>
      <c r="F2601" s="43">
        <v>6.8638545659641181</v>
      </c>
    </row>
    <row r="2602" spans="1:6">
      <c r="A2602" s="149" t="s">
        <v>2962</v>
      </c>
      <c r="B2602" s="146" t="s">
        <v>2658</v>
      </c>
      <c r="C2602" s="44">
        <v>12951</v>
      </c>
      <c r="D2602" s="153">
        <f t="shared" si="40"/>
        <v>0.80943750000000003</v>
      </c>
      <c r="E2602" s="43">
        <v>23070.595952969674</v>
      </c>
      <c r="F2602" s="43">
        <v>6.866814428781538</v>
      </c>
    </row>
    <row r="2603" spans="1:6">
      <c r="A2603" s="149" t="s">
        <v>2962</v>
      </c>
      <c r="B2603" s="146" t="s">
        <v>2659</v>
      </c>
      <c r="C2603" s="44">
        <v>12950</v>
      </c>
      <c r="D2603" s="153">
        <f t="shared" si="40"/>
        <v>0.80937500000000007</v>
      </c>
      <c r="E2603" s="43">
        <v>23068.927237864569</v>
      </c>
      <c r="F2603" s="43">
        <v>6.8682943169948771</v>
      </c>
    </row>
    <row r="2604" spans="1:6">
      <c r="A2604" s="149" t="s">
        <v>2962</v>
      </c>
      <c r="B2604" s="146" t="s">
        <v>2660</v>
      </c>
      <c r="C2604" s="44">
        <v>12948</v>
      </c>
      <c r="D2604" s="153">
        <f t="shared" si="40"/>
        <v>0.80925000000000002</v>
      </c>
      <c r="E2604" s="43">
        <v>23065.590312815337</v>
      </c>
      <c r="F2604" s="43">
        <v>6.8712540070544605</v>
      </c>
    </row>
    <row r="2605" spans="1:6">
      <c r="A2605" s="149" t="s">
        <v>2962</v>
      </c>
      <c r="B2605" s="146" t="s">
        <v>2661</v>
      </c>
      <c r="C2605" s="44">
        <v>12946</v>
      </c>
      <c r="D2605" s="153">
        <f t="shared" si="40"/>
        <v>0.80912499999999998</v>
      </c>
      <c r="E2605" s="43">
        <v>23062.254061144184</v>
      </c>
      <c r="F2605" s="43">
        <v>6.8742135819895225</v>
      </c>
    </row>
    <row r="2606" spans="1:6">
      <c r="A2606" s="149" t="s">
        <v>2962</v>
      </c>
      <c r="B2606" s="146" t="s">
        <v>2662</v>
      </c>
      <c r="C2606" s="44">
        <v>12945</v>
      </c>
      <c r="D2606" s="153">
        <f t="shared" si="40"/>
        <v>0.80906250000000002</v>
      </c>
      <c r="E2606" s="43">
        <v>23060.586187761692</v>
      </c>
      <c r="F2606" s="43">
        <v>6.8756933262971529</v>
      </c>
    </row>
    <row r="2607" spans="1:6">
      <c r="A2607" s="149" t="s">
        <v>2962</v>
      </c>
      <c r="B2607" s="146" t="s">
        <v>2663</v>
      </c>
      <c r="C2607" s="44">
        <v>12943</v>
      </c>
      <c r="D2607" s="153">
        <f t="shared" si="40"/>
        <v>0.80893749999999998</v>
      </c>
      <c r="E2607" s="43">
        <v>23057.250945775537</v>
      </c>
      <c r="F2607" s="43">
        <v>6.8786527286161459</v>
      </c>
    </row>
    <row r="2608" spans="1:6">
      <c r="A2608" s="149" t="s">
        <v>2962</v>
      </c>
      <c r="B2608" s="146" t="s">
        <v>2664</v>
      </c>
      <c r="C2608" s="44">
        <v>12942</v>
      </c>
      <c r="D2608" s="153">
        <f t="shared" si="40"/>
        <v>0.80887500000000001</v>
      </c>
      <c r="E2608" s="43">
        <v>23055.583577120953</v>
      </c>
      <c r="F2608" s="43">
        <v>6.8801323866370012</v>
      </c>
    </row>
    <row r="2609" spans="1:6">
      <c r="A2609" s="149" t="s">
        <v>2962</v>
      </c>
      <c r="B2609" s="146" t="s">
        <v>2665</v>
      </c>
      <c r="C2609" s="44">
        <v>12941</v>
      </c>
      <c r="D2609" s="153">
        <f t="shared" si="40"/>
        <v>0.80881250000000005</v>
      </c>
      <c r="E2609" s="43">
        <v>23053.916376658093</v>
      </c>
      <c r="F2609" s="43">
        <v>6.8816120159049774</v>
      </c>
    </row>
    <row r="2610" spans="1:6">
      <c r="A2610" s="149" t="s">
        <v>2962</v>
      </c>
      <c r="B2610" s="146" t="s">
        <v>2666</v>
      </c>
      <c r="C2610" s="44">
        <v>12939</v>
      </c>
      <c r="D2610" s="153">
        <f t="shared" si="40"/>
        <v>0.8086875</v>
      </c>
      <c r="E2610" s="43">
        <v>23050.582480205758</v>
      </c>
      <c r="F2610" s="43">
        <v>6.8845711882013347</v>
      </c>
    </row>
    <row r="2611" spans="1:6">
      <c r="A2611" s="149" t="s">
        <v>2962</v>
      </c>
      <c r="B2611" s="146" t="s">
        <v>2667</v>
      </c>
      <c r="C2611" s="44">
        <v>12938</v>
      </c>
      <c r="D2611" s="153">
        <f t="shared" si="40"/>
        <v>0.80862500000000004</v>
      </c>
      <c r="E2611" s="43">
        <v>23048.915784165405</v>
      </c>
      <c r="F2611" s="43">
        <v>6.8860507312391519</v>
      </c>
    </row>
    <row r="2612" spans="1:6">
      <c r="A2612" s="149" t="s">
        <v>2962</v>
      </c>
      <c r="B2612" s="146" t="s">
        <v>2668</v>
      </c>
      <c r="C2612" s="44">
        <v>12937</v>
      </c>
      <c r="D2612" s="153">
        <f t="shared" si="40"/>
        <v>0.80856249999999996</v>
      </c>
      <c r="E2612" s="43">
        <v>23047.249256215018</v>
      </c>
      <c r="F2612" s="43">
        <v>6.8875302455430187</v>
      </c>
    </row>
    <row r="2613" spans="1:6">
      <c r="A2613" s="149" t="s">
        <v>2962</v>
      </c>
      <c r="B2613" s="146" t="s">
        <v>2669</v>
      </c>
      <c r="C2613" s="44">
        <v>12935</v>
      </c>
      <c r="D2613" s="153">
        <f t="shared" si="40"/>
        <v>0.80843750000000003</v>
      </c>
      <c r="E2613" s="43">
        <v>23043.916704482428</v>
      </c>
      <c r="F2613" s="43">
        <v>6.8904891879676597</v>
      </c>
    </row>
    <row r="2614" spans="1:6">
      <c r="A2614" s="149" t="s">
        <v>2962</v>
      </c>
      <c r="B2614" s="146" t="s">
        <v>2670</v>
      </c>
      <c r="C2614" s="44">
        <v>12934</v>
      </c>
      <c r="D2614" s="153">
        <f t="shared" si="40"/>
        <v>0.80837500000000007</v>
      </c>
      <c r="E2614" s="43">
        <v>23042.250680649391</v>
      </c>
      <c r="F2614" s="43">
        <v>6.8919686160979268</v>
      </c>
    </row>
    <row r="2615" spans="1:6">
      <c r="A2615" s="149" t="s">
        <v>2962</v>
      </c>
      <c r="B2615" s="146" t="s">
        <v>2671</v>
      </c>
      <c r="C2615" s="44">
        <v>12933</v>
      </c>
      <c r="D2615" s="153">
        <f t="shared" si="40"/>
        <v>0.80831249999999999</v>
      </c>
      <c r="E2615" s="43">
        <v>23040.584824804639</v>
      </c>
      <c r="F2615" s="43">
        <v>6.8934480155130586</v>
      </c>
    </row>
    <row r="2616" spans="1:6">
      <c r="A2616" s="149" t="s">
        <v>2962</v>
      </c>
      <c r="B2616" s="146" t="s">
        <v>2672</v>
      </c>
      <c r="C2616" s="44">
        <v>12932</v>
      </c>
      <c r="D2616" s="153">
        <f t="shared" si="40"/>
        <v>0.80825000000000002</v>
      </c>
      <c r="E2616" s="43">
        <v>23038.919136922766</v>
      </c>
      <c r="F2616" s="43">
        <v>6.8949273862178302</v>
      </c>
    </row>
    <row r="2617" spans="1:6">
      <c r="A2617" s="149" t="s">
        <v>2962</v>
      </c>
      <c r="B2617" s="146" t="s">
        <v>2673</v>
      </c>
      <c r="C2617" s="44">
        <v>12931</v>
      </c>
      <c r="D2617" s="153">
        <f t="shared" si="40"/>
        <v>0.80818750000000006</v>
      </c>
      <c r="E2617" s="43">
        <v>23037.253616978374</v>
      </c>
      <c r="F2617" s="43">
        <v>6.8964067282170163</v>
      </c>
    </row>
    <row r="2618" spans="1:6">
      <c r="A2618" s="149" t="s">
        <v>2962</v>
      </c>
      <c r="B2618" s="146" t="s">
        <v>2674</v>
      </c>
      <c r="C2618" s="44">
        <v>12930</v>
      </c>
      <c r="D2618" s="153">
        <f t="shared" si="40"/>
        <v>0.80812499999999998</v>
      </c>
      <c r="E2618" s="43">
        <v>23035.588264946062</v>
      </c>
      <c r="F2618" s="43">
        <v>6.8978860415151075</v>
      </c>
    </row>
    <row r="2619" spans="1:6">
      <c r="A2619" s="149" t="s">
        <v>2962</v>
      </c>
      <c r="B2619" s="146" t="s">
        <v>2675</v>
      </c>
      <c r="C2619" s="44">
        <v>12929</v>
      </c>
      <c r="D2619" s="153">
        <f t="shared" si="40"/>
        <v>0.80806250000000002</v>
      </c>
      <c r="E2619" s="43">
        <v>23033.923080800443</v>
      </c>
      <c r="F2619" s="43">
        <v>6.8993653261168788</v>
      </c>
    </row>
    <row r="2620" spans="1:6">
      <c r="A2620" s="149" t="s">
        <v>2962</v>
      </c>
      <c r="B2620" s="146" t="s">
        <v>2676</v>
      </c>
      <c r="C2620" s="44">
        <v>12928</v>
      </c>
      <c r="D2620" s="153">
        <f t="shared" si="40"/>
        <v>0.80800000000000005</v>
      </c>
      <c r="E2620" s="43">
        <v>23032.258064516129</v>
      </c>
      <c r="F2620" s="43">
        <v>6.9008445820272755</v>
      </c>
    </row>
    <row r="2621" spans="1:6">
      <c r="A2621" s="149" t="s">
        <v>2962</v>
      </c>
      <c r="B2621" s="146" t="s">
        <v>2677</v>
      </c>
      <c r="C2621" s="44">
        <v>12927</v>
      </c>
      <c r="D2621" s="153">
        <f t="shared" si="40"/>
        <v>0.80793749999999998</v>
      </c>
      <c r="E2621" s="43">
        <v>23030.59321606774</v>
      </c>
      <c r="F2621" s="43">
        <v>6.9023238092507881</v>
      </c>
    </row>
    <row r="2622" spans="1:6">
      <c r="A2622" s="149" t="s">
        <v>2962</v>
      </c>
      <c r="B2622" s="146" t="s">
        <v>2678</v>
      </c>
      <c r="C2622" s="44">
        <v>12926</v>
      </c>
      <c r="D2622" s="153">
        <f t="shared" si="40"/>
        <v>0.80787500000000001</v>
      </c>
      <c r="E2622" s="43">
        <v>23028.928535429895</v>
      </c>
      <c r="F2622" s="43">
        <v>6.903803007792078</v>
      </c>
    </row>
    <row r="2623" spans="1:6">
      <c r="A2623" s="149" t="s">
        <v>2962</v>
      </c>
      <c r="B2623" s="146" t="s">
        <v>2679</v>
      </c>
      <c r="C2623" s="44">
        <v>12925</v>
      </c>
      <c r="D2623" s="153">
        <f t="shared" si="40"/>
        <v>0.80781250000000004</v>
      </c>
      <c r="E2623" s="43">
        <v>23027.26402257723</v>
      </c>
      <c r="F2623" s="43">
        <v>6.9052821776560336</v>
      </c>
    </row>
    <row r="2624" spans="1:6">
      <c r="A2624" s="149" t="s">
        <v>2962</v>
      </c>
      <c r="B2624" s="146" t="s">
        <v>2680</v>
      </c>
      <c r="C2624" s="44">
        <v>12924</v>
      </c>
      <c r="D2624" s="153">
        <f t="shared" si="40"/>
        <v>0.80774999999999997</v>
      </c>
      <c r="E2624" s="43">
        <v>23025.599677484377</v>
      </c>
      <c r="F2624" s="43">
        <v>6.906761318847316</v>
      </c>
    </row>
    <row r="2625" spans="1:6">
      <c r="A2625" s="149" t="s">
        <v>2962</v>
      </c>
      <c r="B2625" s="146" t="s">
        <v>2681</v>
      </c>
      <c r="C2625" s="44">
        <v>12923</v>
      </c>
      <c r="D2625" s="153">
        <f t="shared" si="40"/>
        <v>0.8076875</v>
      </c>
      <c r="E2625" s="43">
        <v>23023.935500125976</v>
      </c>
      <c r="F2625" s="43">
        <v>6.9082404313705865</v>
      </c>
    </row>
    <row r="2626" spans="1:6">
      <c r="A2626" s="149" t="s">
        <v>2962</v>
      </c>
      <c r="B2626" s="146" t="s">
        <v>2682</v>
      </c>
      <c r="C2626" s="44">
        <v>12922</v>
      </c>
      <c r="D2626" s="153">
        <f t="shared" si="40"/>
        <v>0.80762500000000004</v>
      </c>
      <c r="E2626" s="43">
        <v>23022.271490476669</v>
      </c>
      <c r="F2626" s="43">
        <v>6.909719515230563</v>
      </c>
    </row>
    <row r="2627" spans="1:6">
      <c r="A2627" s="149" t="s">
        <v>2962</v>
      </c>
      <c r="B2627" s="146" t="s">
        <v>2683</v>
      </c>
      <c r="C2627" s="44">
        <v>12921</v>
      </c>
      <c r="D2627" s="153">
        <f t="shared" si="40"/>
        <v>0.80756250000000007</v>
      </c>
      <c r="E2627" s="43">
        <v>23020.607648511112</v>
      </c>
      <c r="F2627" s="43">
        <v>6.9111985704319068</v>
      </c>
    </row>
    <row r="2628" spans="1:6">
      <c r="A2628" s="149" t="s">
        <v>2962</v>
      </c>
      <c r="B2628" s="146" t="s">
        <v>2684</v>
      </c>
      <c r="C2628" s="44">
        <v>12921</v>
      </c>
      <c r="D2628" s="153">
        <f t="shared" si="40"/>
        <v>0.80756250000000007</v>
      </c>
      <c r="E2628" s="43">
        <v>23020.607648511112</v>
      </c>
      <c r="F2628" s="43">
        <v>6.9111985704319068</v>
      </c>
    </row>
    <row r="2629" spans="1:6">
      <c r="A2629" s="149" t="s">
        <v>2962</v>
      </c>
      <c r="B2629" s="146" t="s">
        <v>2685</v>
      </c>
      <c r="C2629" s="44">
        <v>12920</v>
      </c>
      <c r="D2629" s="153">
        <f t="shared" si="40"/>
        <v>0.8075</v>
      </c>
      <c r="E2629" s="43">
        <v>23018.94397420395</v>
      </c>
      <c r="F2629" s="43">
        <v>6.9126775969793357</v>
      </c>
    </row>
    <row r="2630" spans="1:6">
      <c r="A2630" s="149" t="s">
        <v>2962</v>
      </c>
      <c r="B2630" s="146" t="s">
        <v>2686</v>
      </c>
      <c r="C2630" s="44">
        <v>12919</v>
      </c>
      <c r="D2630" s="153">
        <f t="shared" si="40"/>
        <v>0.80743750000000003</v>
      </c>
      <c r="E2630" s="43">
        <v>23017.28046752985</v>
      </c>
      <c r="F2630" s="43">
        <v>6.9141565948777384</v>
      </c>
    </row>
    <row r="2631" spans="1:6">
      <c r="A2631" s="149" t="s">
        <v>2962</v>
      </c>
      <c r="B2631" s="146" t="s">
        <v>2687</v>
      </c>
      <c r="C2631" s="44">
        <v>12919</v>
      </c>
      <c r="D2631" s="153">
        <f t="shared" ref="D2631:D2694" si="41">C2631/32768*4.096/2</f>
        <v>0.80743750000000003</v>
      </c>
      <c r="E2631" s="43">
        <v>23017.28046752985</v>
      </c>
      <c r="F2631" s="43">
        <v>6.9141565948777384</v>
      </c>
    </row>
    <row r="2632" spans="1:6">
      <c r="A2632" s="149" t="s">
        <v>2962</v>
      </c>
      <c r="B2632" s="146" t="s">
        <v>2688</v>
      </c>
      <c r="C2632" s="44">
        <v>12918</v>
      </c>
      <c r="D2632" s="153">
        <f t="shared" si="41"/>
        <v>0.80737500000000006</v>
      </c>
      <c r="E2632" s="43">
        <v>23015.617128463477</v>
      </c>
      <c r="F2632" s="43">
        <v>6.9156355641316054</v>
      </c>
    </row>
    <row r="2633" spans="1:6">
      <c r="A2633" s="149" t="s">
        <v>2962</v>
      </c>
      <c r="B2633" s="146" t="s">
        <v>2689</v>
      </c>
      <c r="C2633" s="44">
        <v>12917</v>
      </c>
      <c r="D2633" s="153">
        <f t="shared" si="41"/>
        <v>0.80731249999999999</v>
      </c>
      <c r="E2633" s="43">
        <v>23013.953956979498</v>
      </c>
      <c r="F2633" s="43">
        <v>6.9171145047457117</v>
      </c>
    </row>
    <row r="2634" spans="1:6">
      <c r="A2634" s="149" t="s">
        <v>2962</v>
      </c>
      <c r="B2634" s="146" t="s">
        <v>2690</v>
      </c>
      <c r="C2634" s="44">
        <v>12916</v>
      </c>
      <c r="D2634" s="153">
        <f t="shared" si="41"/>
        <v>0.80725000000000002</v>
      </c>
      <c r="E2634" s="43">
        <v>23012.29095305259</v>
      </c>
      <c r="F2634" s="43">
        <v>6.9185934167247751</v>
      </c>
    </row>
    <row r="2635" spans="1:6">
      <c r="A2635" s="149" t="s">
        <v>2962</v>
      </c>
      <c r="B2635" s="146" t="s">
        <v>2691</v>
      </c>
      <c r="C2635" s="44">
        <v>12916</v>
      </c>
      <c r="D2635" s="153">
        <f t="shared" si="41"/>
        <v>0.80725000000000002</v>
      </c>
      <c r="E2635" s="43">
        <v>23012.29095305259</v>
      </c>
      <c r="F2635" s="43">
        <v>6.9185934167247751</v>
      </c>
    </row>
    <row r="2636" spans="1:6">
      <c r="A2636" s="149" t="s">
        <v>2962</v>
      </c>
      <c r="B2636" s="146" t="s">
        <v>2692</v>
      </c>
      <c r="C2636" s="44">
        <v>12915</v>
      </c>
      <c r="D2636" s="153">
        <f t="shared" si="41"/>
        <v>0.80718750000000006</v>
      </c>
      <c r="E2636" s="43">
        <v>23010.628116657434</v>
      </c>
      <c r="F2636" s="43">
        <v>6.9200723000734001</v>
      </c>
    </row>
    <row r="2637" spans="1:6">
      <c r="A2637" s="149" t="s">
        <v>2962</v>
      </c>
      <c r="B2637" s="146" t="s">
        <v>2693</v>
      </c>
      <c r="C2637" s="44">
        <v>12914</v>
      </c>
      <c r="D2637" s="153">
        <f t="shared" si="41"/>
        <v>0.80712499999999998</v>
      </c>
      <c r="E2637" s="43">
        <v>23008.965447768711</v>
      </c>
      <c r="F2637" s="43">
        <v>6.9215511547964752</v>
      </c>
    </row>
    <row r="2638" spans="1:6">
      <c r="A2638" s="149" t="s">
        <v>2962</v>
      </c>
      <c r="B2638" s="146" t="s">
        <v>2694</v>
      </c>
      <c r="C2638" s="44">
        <v>12914</v>
      </c>
      <c r="D2638" s="153">
        <f t="shared" si="41"/>
        <v>0.80712499999999998</v>
      </c>
      <c r="E2638" s="43">
        <v>23008.965447768711</v>
      </c>
      <c r="F2638" s="43">
        <v>6.9215511547964752</v>
      </c>
    </row>
    <row r="2639" spans="1:6">
      <c r="A2639" s="149" t="s">
        <v>2962</v>
      </c>
      <c r="B2639" s="146" t="s">
        <v>2695</v>
      </c>
      <c r="C2639" s="44">
        <v>12913</v>
      </c>
      <c r="D2639" s="153">
        <f t="shared" si="41"/>
        <v>0.80706250000000002</v>
      </c>
      <c r="E2639" s="43">
        <v>23007.302946361116</v>
      </c>
      <c r="F2639" s="43">
        <v>6.9230299808985478</v>
      </c>
    </row>
    <row r="2640" spans="1:6">
      <c r="A2640" s="149" t="s">
        <v>2962</v>
      </c>
      <c r="B2640" s="146" t="s">
        <v>2696</v>
      </c>
      <c r="C2640" s="44">
        <v>12913</v>
      </c>
      <c r="D2640" s="153">
        <f t="shared" si="41"/>
        <v>0.80706250000000002</v>
      </c>
      <c r="E2640" s="43">
        <v>23007.302946361116</v>
      </c>
      <c r="F2640" s="43">
        <v>6.9230299808985478</v>
      </c>
    </row>
    <row r="2641" spans="1:6">
      <c r="A2641" s="149" t="s">
        <v>2962</v>
      </c>
      <c r="B2641" s="146" t="s">
        <v>2697</v>
      </c>
      <c r="C2641" s="44">
        <v>12912</v>
      </c>
      <c r="D2641" s="153">
        <f t="shared" si="41"/>
        <v>0.80700000000000005</v>
      </c>
      <c r="E2641" s="43">
        <v>23005.640612409348</v>
      </c>
      <c r="F2641" s="43">
        <v>6.9245087783843928</v>
      </c>
    </row>
    <row r="2642" spans="1:6">
      <c r="A2642" s="149" t="s">
        <v>2962</v>
      </c>
      <c r="B2642" s="146" t="s">
        <v>2698</v>
      </c>
      <c r="C2642" s="44">
        <v>12912</v>
      </c>
      <c r="D2642" s="153">
        <f t="shared" si="41"/>
        <v>0.80700000000000005</v>
      </c>
      <c r="E2642" s="43">
        <v>23005.640612409348</v>
      </c>
      <c r="F2642" s="43">
        <v>6.9245087783843928</v>
      </c>
    </row>
    <row r="2643" spans="1:6">
      <c r="A2643" s="149" t="s">
        <v>2962</v>
      </c>
      <c r="B2643" s="146" t="s">
        <v>2699</v>
      </c>
      <c r="C2643" s="44">
        <v>12911</v>
      </c>
      <c r="D2643" s="153">
        <f t="shared" si="41"/>
        <v>0.80693749999999997</v>
      </c>
      <c r="E2643" s="43">
        <v>23003.9784458881</v>
      </c>
      <c r="F2643" s="43">
        <v>6.9259875472587282</v>
      </c>
    </row>
    <row r="2644" spans="1:6">
      <c r="A2644" s="149" t="s">
        <v>2962</v>
      </c>
      <c r="B2644" s="146" t="s">
        <v>2700</v>
      </c>
      <c r="C2644" s="44">
        <v>12910</v>
      </c>
      <c r="D2644" s="153">
        <f t="shared" si="41"/>
        <v>0.80687500000000001</v>
      </c>
      <c r="E2644" s="43">
        <v>23002.316446772082</v>
      </c>
      <c r="F2644" s="43">
        <v>6.9274662875262152</v>
      </c>
    </row>
    <row r="2645" spans="1:6">
      <c r="A2645" s="149" t="s">
        <v>2962</v>
      </c>
      <c r="B2645" s="146" t="s">
        <v>2701</v>
      </c>
      <c r="C2645" s="44">
        <v>12910</v>
      </c>
      <c r="D2645" s="153">
        <f t="shared" si="41"/>
        <v>0.80687500000000001</v>
      </c>
      <c r="E2645" s="43">
        <v>23002.316446772082</v>
      </c>
      <c r="F2645" s="43">
        <v>6.9274662875262152</v>
      </c>
    </row>
    <row r="2646" spans="1:6">
      <c r="A2646" s="149" t="s">
        <v>2962</v>
      </c>
      <c r="B2646" s="146" t="s">
        <v>2702</v>
      </c>
      <c r="C2646" s="44">
        <v>12909</v>
      </c>
      <c r="D2646" s="153">
        <f t="shared" si="41"/>
        <v>0.80681250000000004</v>
      </c>
      <c r="E2646" s="43">
        <v>23000.654615036005</v>
      </c>
      <c r="F2646" s="43">
        <v>6.928944999191458</v>
      </c>
    </row>
    <row r="2647" spans="1:6">
      <c r="A2647" s="149" t="s">
        <v>2962</v>
      </c>
      <c r="B2647" s="146" t="s">
        <v>2703</v>
      </c>
      <c r="C2647" s="44">
        <v>12909</v>
      </c>
      <c r="D2647" s="153">
        <f t="shared" si="41"/>
        <v>0.80681250000000004</v>
      </c>
      <c r="E2647" s="43">
        <v>23000.654615036005</v>
      </c>
      <c r="F2647" s="43">
        <v>6.928944999191458</v>
      </c>
    </row>
    <row r="2648" spans="1:6">
      <c r="A2648" s="149" t="s">
        <v>2962</v>
      </c>
      <c r="B2648" s="146" t="s">
        <v>2704</v>
      </c>
      <c r="C2648" s="44">
        <v>12909</v>
      </c>
      <c r="D2648" s="153">
        <f t="shared" si="41"/>
        <v>0.80681250000000004</v>
      </c>
      <c r="E2648" s="43">
        <v>23000.654615036005</v>
      </c>
      <c r="F2648" s="43">
        <v>6.928944999191458</v>
      </c>
    </row>
    <row r="2649" spans="1:6">
      <c r="A2649" s="149" t="s">
        <v>2962</v>
      </c>
      <c r="B2649" s="146" t="s">
        <v>2705</v>
      </c>
      <c r="C2649" s="44">
        <v>12908</v>
      </c>
      <c r="D2649" s="153">
        <f t="shared" si="41"/>
        <v>0.80674999999999997</v>
      </c>
      <c r="E2649" s="43">
        <v>22998.992950654581</v>
      </c>
      <c r="F2649" s="43">
        <v>6.9304236822593452</v>
      </c>
    </row>
    <row r="2650" spans="1:6">
      <c r="A2650" s="149" t="s">
        <v>2962</v>
      </c>
      <c r="B2650" s="146" t="s">
        <v>2706</v>
      </c>
      <c r="C2650" s="44">
        <v>12908</v>
      </c>
      <c r="D2650" s="153">
        <f t="shared" si="41"/>
        <v>0.80674999999999997</v>
      </c>
      <c r="E2650" s="43">
        <v>22998.992950654581</v>
      </c>
      <c r="F2650" s="43">
        <v>6.9304236822593452</v>
      </c>
    </row>
    <row r="2651" spans="1:6">
      <c r="A2651" s="149" t="s">
        <v>2962</v>
      </c>
      <c r="B2651" s="146" t="s">
        <v>2707</v>
      </c>
      <c r="C2651" s="44">
        <v>12907</v>
      </c>
      <c r="D2651" s="153">
        <f t="shared" si="41"/>
        <v>0.8066875</v>
      </c>
      <c r="E2651" s="43">
        <v>22997.331453602539</v>
      </c>
      <c r="F2651" s="43">
        <v>6.931902336734538</v>
      </c>
    </row>
    <row r="2652" spans="1:6">
      <c r="A2652" s="149" t="s">
        <v>2962</v>
      </c>
      <c r="B2652" s="146" t="s">
        <v>2708</v>
      </c>
      <c r="C2652" s="44">
        <v>12907</v>
      </c>
      <c r="D2652" s="153">
        <f t="shared" si="41"/>
        <v>0.8066875</v>
      </c>
      <c r="E2652" s="43">
        <v>22997.331453602539</v>
      </c>
      <c r="F2652" s="43">
        <v>6.931902336734538</v>
      </c>
    </row>
    <row r="2653" spans="1:6">
      <c r="A2653" s="149" t="s">
        <v>2962</v>
      </c>
      <c r="B2653" s="146" t="s">
        <v>2709</v>
      </c>
      <c r="C2653" s="44">
        <v>12906</v>
      </c>
      <c r="D2653" s="153">
        <f t="shared" si="41"/>
        <v>0.80662500000000004</v>
      </c>
      <c r="E2653" s="43">
        <v>22995.670123854597</v>
      </c>
      <c r="F2653" s="43">
        <v>6.9333809626216407</v>
      </c>
    </row>
    <row r="2654" spans="1:6">
      <c r="A2654" s="149" t="s">
        <v>2962</v>
      </c>
      <c r="B2654" s="146" t="s">
        <v>2710</v>
      </c>
      <c r="C2654" s="44">
        <v>12906</v>
      </c>
      <c r="D2654" s="153">
        <f t="shared" si="41"/>
        <v>0.80662500000000004</v>
      </c>
      <c r="E2654" s="43">
        <v>22995.670123854597</v>
      </c>
      <c r="F2654" s="43">
        <v>6.9333809626216407</v>
      </c>
    </row>
    <row r="2655" spans="1:6">
      <c r="A2655" s="149" t="s">
        <v>2962</v>
      </c>
      <c r="B2655" s="146" t="s">
        <v>2711</v>
      </c>
      <c r="C2655" s="44">
        <v>12905</v>
      </c>
      <c r="D2655" s="153">
        <f t="shared" si="41"/>
        <v>0.80656250000000007</v>
      </c>
      <c r="E2655" s="43">
        <v>22994.008961385491</v>
      </c>
      <c r="F2655" s="43">
        <v>6.9348595599253713</v>
      </c>
    </row>
    <row r="2656" spans="1:6">
      <c r="A2656" s="149" t="s">
        <v>2962</v>
      </c>
      <c r="B2656" s="146" t="s">
        <v>2712</v>
      </c>
      <c r="C2656" s="44">
        <v>12905</v>
      </c>
      <c r="D2656" s="153">
        <f t="shared" si="41"/>
        <v>0.80656250000000007</v>
      </c>
      <c r="E2656" s="43">
        <v>22994.008961385491</v>
      </c>
      <c r="F2656" s="43">
        <v>6.9348595599253713</v>
      </c>
    </row>
    <row r="2657" spans="1:6">
      <c r="A2657" s="149" t="s">
        <v>2962</v>
      </c>
      <c r="B2657" s="146" t="s">
        <v>2713</v>
      </c>
      <c r="C2657" s="44">
        <v>12905</v>
      </c>
      <c r="D2657" s="153">
        <f t="shared" si="41"/>
        <v>0.80656250000000007</v>
      </c>
      <c r="E2657" s="43">
        <v>22994.008961385491</v>
      </c>
      <c r="F2657" s="43">
        <v>6.9348595599253713</v>
      </c>
    </row>
    <row r="2658" spans="1:6">
      <c r="A2658" s="149" t="s">
        <v>2962</v>
      </c>
      <c r="B2658" s="146" t="s">
        <v>2714</v>
      </c>
      <c r="C2658" s="44">
        <v>12904</v>
      </c>
      <c r="D2658" s="153">
        <f t="shared" si="41"/>
        <v>0.80649999999999999</v>
      </c>
      <c r="E2658" s="43">
        <v>22992.347966169957</v>
      </c>
      <c r="F2658" s="43">
        <v>6.9363381286504477</v>
      </c>
    </row>
    <row r="2659" spans="1:6">
      <c r="A2659" s="149" t="s">
        <v>2962</v>
      </c>
      <c r="B2659" s="146" t="s">
        <v>2715</v>
      </c>
      <c r="C2659" s="44">
        <v>12904</v>
      </c>
      <c r="D2659" s="153">
        <f t="shared" si="41"/>
        <v>0.80649999999999999</v>
      </c>
      <c r="E2659" s="43">
        <v>22992.347966169957</v>
      </c>
      <c r="F2659" s="43">
        <v>6.9363381286504477</v>
      </c>
    </row>
    <row r="2660" spans="1:6">
      <c r="A2660" s="149" t="s">
        <v>2962</v>
      </c>
      <c r="B2660" s="146" t="s">
        <v>2716</v>
      </c>
      <c r="C2660" s="44">
        <v>12904</v>
      </c>
      <c r="D2660" s="153">
        <f t="shared" si="41"/>
        <v>0.80649999999999999</v>
      </c>
      <c r="E2660" s="43">
        <v>22992.347966169957</v>
      </c>
      <c r="F2660" s="43">
        <v>6.9363381286504477</v>
      </c>
    </row>
    <row r="2661" spans="1:6">
      <c r="A2661" s="149" t="s">
        <v>2962</v>
      </c>
      <c r="B2661" s="146" t="s">
        <v>2717</v>
      </c>
      <c r="C2661" s="44">
        <v>12903</v>
      </c>
      <c r="D2661" s="153">
        <f t="shared" si="41"/>
        <v>0.80643750000000003</v>
      </c>
      <c r="E2661" s="43">
        <v>22990.687138182733</v>
      </c>
      <c r="F2661" s="43">
        <v>6.9378166688015881</v>
      </c>
    </row>
    <row r="2662" spans="1:6">
      <c r="A2662" s="149" t="s">
        <v>2962</v>
      </c>
      <c r="B2662" s="146" t="s">
        <v>2718</v>
      </c>
      <c r="C2662" s="44">
        <v>12903</v>
      </c>
      <c r="D2662" s="153">
        <f t="shared" si="41"/>
        <v>0.80643750000000003</v>
      </c>
      <c r="E2662" s="43">
        <v>22990.687138182733</v>
      </c>
      <c r="F2662" s="43">
        <v>6.9378166688015881</v>
      </c>
    </row>
    <row r="2663" spans="1:6">
      <c r="A2663" s="149" t="s">
        <v>2962</v>
      </c>
      <c r="B2663" s="146" t="s">
        <v>2719</v>
      </c>
      <c r="C2663" s="44">
        <v>12902</v>
      </c>
      <c r="D2663" s="153">
        <f t="shared" si="41"/>
        <v>0.80637500000000006</v>
      </c>
      <c r="E2663" s="43">
        <v>22989.026477398569</v>
      </c>
      <c r="F2663" s="43">
        <v>6.9392951803835103</v>
      </c>
    </row>
    <row r="2664" spans="1:6">
      <c r="A2664" s="149" t="s">
        <v>2962</v>
      </c>
      <c r="B2664" s="146" t="s">
        <v>2720</v>
      </c>
      <c r="C2664" s="44">
        <v>12902</v>
      </c>
      <c r="D2664" s="153">
        <f t="shared" si="41"/>
        <v>0.80637500000000006</v>
      </c>
      <c r="E2664" s="43">
        <v>22989.026477398569</v>
      </c>
      <c r="F2664" s="43">
        <v>6.9392951803835103</v>
      </c>
    </row>
    <row r="2665" spans="1:6">
      <c r="A2665" s="149" t="s">
        <v>2962</v>
      </c>
      <c r="B2665" s="146" t="s">
        <v>2721</v>
      </c>
      <c r="C2665" s="44">
        <v>12902</v>
      </c>
      <c r="D2665" s="153">
        <f t="shared" si="41"/>
        <v>0.80637500000000006</v>
      </c>
      <c r="E2665" s="43">
        <v>22989.026477398569</v>
      </c>
      <c r="F2665" s="43">
        <v>6.9392951803835103</v>
      </c>
    </row>
    <row r="2666" spans="1:6">
      <c r="A2666" s="149" t="s">
        <v>2962</v>
      </c>
      <c r="B2666" s="146" t="s">
        <v>2722</v>
      </c>
      <c r="C2666" s="44">
        <v>12902</v>
      </c>
      <c r="D2666" s="153">
        <f t="shared" si="41"/>
        <v>0.80637500000000006</v>
      </c>
      <c r="E2666" s="43">
        <v>22989.026477398569</v>
      </c>
      <c r="F2666" s="43">
        <v>6.9392951803835103</v>
      </c>
    </row>
    <row r="2667" spans="1:6">
      <c r="A2667" s="149" t="s">
        <v>2962</v>
      </c>
      <c r="B2667" s="146" t="s">
        <v>2723</v>
      </c>
      <c r="C2667" s="44">
        <v>12901</v>
      </c>
      <c r="D2667" s="153">
        <f t="shared" si="41"/>
        <v>0.80631249999999999</v>
      </c>
      <c r="E2667" s="43">
        <v>22987.365983792217</v>
      </c>
      <c r="F2667" s="43">
        <v>6.9407736634008756</v>
      </c>
    </row>
    <row r="2668" spans="1:6">
      <c r="A2668" s="149" t="s">
        <v>2962</v>
      </c>
      <c r="B2668" s="146" t="s">
        <v>2724</v>
      </c>
      <c r="C2668" s="44">
        <v>12901</v>
      </c>
      <c r="D2668" s="153">
        <f t="shared" si="41"/>
        <v>0.80631249999999999</v>
      </c>
      <c r="E2668" s="43">
        <v>22987.365983792217</v>
      </c>
      <c r="F2668" s="43">
        <v>6.9407736634008756</v>
      </c>
    </row>
    <row r="2669" spans="1:6">
      <c r="A2669" s="149" t="s">
        <v>2962</v>
      </c>
      <c r="B2669" s="146" t="s">
        <v>2725</v>
      </c>
      <c r="C2669" s="44">
        <v>12901</v>
      </c>
      <c r="D2669" s="153">
        <f t="shared" si="41"/>
        <v>0.80631249999999999</v>
      </c>
      <c r="E2669" s="43">
        <v>22987.365983792217</v>
      </c>
      <c r="F2669" s="43">
        <v>6.9407736634008756</v>
      </c>
    </row>
    <row r="2670" spans="1:6">
      <c r="A2670" s="149" t="s">
        <v>2962</v>
      </c>
      <c r="B2670" s="146" t="s">
        <v>2726</v>
      </c>
      <c r="C2670" s="44">
        <v>12901</v>
      </c>
      <c r="D2670" s="153">
        <f t="shared" si="41"/>
        <v>0.80631249999999999</v>
      </c>
      <c r="E2670" s="43">
        <v>22987.365983792217</v>
      </c>
      <c r="F2670" s="43">
        <v>6.9407736634008756</v>
      </c>
    </row>
    <row r="2671" spans="1:6">
      <c r="A2671" s="149" t="s">
        <v>2962</v>
      </c>
      <c r="B2671" s="146" t="s">
        <v>2727</v>
      </c>
      <c r="C2671" s="44">
        <v>12900</v>
      </c>
      <c r="D2671" s="153">
        <f t="shared" si="41"/>
        <v>0.80625000000000002</v>
      </c>
      <c r="E2671" s="43">
        <v>22985.705657338433</v>
      </c>
      <c r="F2671" s="43">
        <v>6.9422521178582883</v>
      </c>
    </row>
    <row r="2672" spans="1:6">
      <c r="A2672" s="149" t="s">
        <v>2962</v>
      </c>
      <c r="B2672" s="146" t="s">
        <v>2728</v>
      </c>
      <c r="C2672" s="44">
        <v>12900</v>
      </c>
      <c r="D2672" s="153">
        <f t="shared" si="41"/>
        <v>0.80625000000000002</v>
      </c>
      <c r="E2672" s="43">
        <v>22985.705657338433</v>
      </c>
      <c r="F2672" s="43">
        <v>6.9422521178582883</v>
      </c>
    </row>
    <row r="2673" spans="1:6">
      <c r="A2673" s="149" t="s">
        <v>2962</v>
      </c>
      <c r="B2673" s="146" t="s">
        <v>2729</v>
      </c>
      <c r="C2673" s="44">
        <v>12900</v>
      </c>
      <c r="D2673" s="153">
        <f t="shared" si="41"/>
        <v>0.80625000000000002</v>
      </c>
      <c r="E2673" s="43">
        <v>22985.705657338433</v>
      </c>
      <c r="F2673" s="43">
        <v>6.9422521178582883</v>
      </c>
    </row>
    <row r="2674" spans="1:6">
      <c r="A2674" s="149" t="s">
        <v>2962</v>
      </c>
      <c r="B2674" s="146" t="s">
        <v>2730</v>
      </c>
      <c r="C2674" s="44">
        <v>12899</v>
      </c>
      <c r="D2674" s="153">
        <f t="shared" si="41"/>
        <v>0.80618750000000006</v>
      </c>
      <c r="E2674" s="43">
        <v>22984.045498011979</v>
      </c>
      <c r="F2674" s="43">
        <v>6.9437305437605801</v>
      </c>
    </row>
    <row r="2675" spans="1:6">
      <c r="A2675" s="149" t="s">
        <v>2962</v>
      </c>
      <c r="B2675" s="146" t="s">
        <v>2731</v>
      </c>
      <c r="C2675" s="44">
        <v>12899</v>
      </c>
      <c r="D2675" s="153">
        <f t="shared" si="41"/>
        <v>0.80618750000000006</v>
      </c>
      <c r="E2675" s="43">
        <v>22984.045498011979</v>
      </c>
      <c r="F2675" s="43">
        <v>6.9437305437605801</v>
      </c>
    </row>
    <row r="2676" spans="1:6">
      <c r="A2676" s="149" t="s">
        <v>2962</v>
      </c>
      <c r="B2676" s="146" t="s">
        <v>2732</v>
      </c>
      <c r="C2676" s="44">
        <v>12899</v>
      </c>
      <c r="D2676" s="153">
        <f t="shared" si="41"/>
        <v>0.80618750000000006</v>
      </c>
      <c r="E2676" s="43">
        <v>22984.045498011979</v>
      </c>
      <c r="F2676" s="43">
        <v>6.9437305437605801</v>
      </c>
    </row>
    <row r="2677" spans="1:6">
      <c r="A2677" s="149" t="s">
        <v>2962</v>
      </c>
      <c r="B2677" s="146" t="s">
        <v>2733</v>
      </c>
      <c r="C2677" s="44">
        <v>12899</v>
      </c>
      <c r="D2677" s="153">
        <f t="shared" si="41"/>
        <v>0.80618750000000006</v>
      </c>
      <c r="E2677" s="43">
        <v>22984.045498011979</v>
      </c>
      <c r="F2677" s="43">
        <v>6.9437305437605801</v>
      </c>
    </row>
    <row r="2678" spans="1:6">
      <c r="A2678" s="149" t="s">
        <v>2962</v>
      </c>
      <c r="B2678" s="146" t="s">
        <v>2734</v>
      </c>
      <c r="C2678" s="44">
        <v>12898</v>
      </c>
      <c r="D2678" s="153">
        <f t="shared" si="41"/>
        <v>0.80612499999999998</v>
      </c>
      <c r="E2678" s="43">
        <v>22982.385505787621</v>
      </c>
      <c r="F2678" s="43">
        <v>6.9452089411123552</v>
      </c>
    </row>
    <row r="2679" spans="1:6">
      <c r="A2679" s="149" t="s">
        <v>2962</v>
      </c>
      <c r="B2679" s="146" t="s">
        <v>2735</v>
      </c>
      <c r="C2679" s="44">
        <v>12898</v>
      </c>
      <c r="D2679" s="153">
        <f t="shared" si="41"/>
        <v>0.80612499999999998</v>
      </c>
      <c r="E2679" s="43">
        <v>22982.385505787621</v>
      </c>
      <c r="F2679" s="43">
        <v>6.9452089411123552</v>
      </c>
    </row>
    <row r="2680" spans="1:6">
      <c r="A2680" s="149" t="s">
        <v>2962</v>
      </c>
      <c r="B2680" s="146" t="s">
        <v>2736</v>
      </c>
      <c r="C2680" s="44">
        <v>12898</v>
      </c>
      <c r="D2680" s="153">
        <f t="shared" si="41"/>
        <v>0.80612499999999998</v>
      </c>
      <c r="E2680" s="43">
        <v>22982.385505787621</v>
      </c>
      <c r="F2680" s="43">
        <v>6.9452089411123552</v>
      </c>
    </row>
    <row r="2681" spans="1:6">
      <c r="A2681" s="149" t="s">
        <v>2962</v>
      </c>
      <c r="B2681" s="146" t="s">
        <v>2737</v>
      </c>
      <c r="C2681" s="44">
        <v>12898</v>
      </c>
      <c r="D2681" s="153">
        <f t="shared" si="41"/>
        <v>0.80612499999999998</v>
      </c>
      <c r="E2681" s="43">
        <v>22982.385505787621</v>
      </c>
      <c r="F2681" s="43">
        <v>6.9452089411123552</v>
      </c>
    </row>
    <row r="2682" spans="1:6">
      <c r="A2682" s="149" t="s">
        <v>2962</v>
      </c>
      <c r="B2682" s="146" t="s">
        <v>2738</v>
      </c>
      <c r="C2682" s="44">
        <v>12898</v>
      </c>
      <c r="D2682" s="153">
        <f t="shared" si="41"/>
        <v>0.80612499999999998</v>
      </c>
      <c r="E2682" s="43">
        <v>22982.385505787621</v>
      </c>
      <c r="F2682" s="43">
        <v>6.9452089411123552</v>
      </c>
    </row>
    <row r="2683" spans="1:6">
      <c r="A2683" s="149" t="s">
        <v>2962</v>
      </c>
      <c r="B2683" s="146" t="s">
        <v>2739</v>
      </c>
      <c r="C2683" s="44">
        <v>12897</v>
      </c>
      <c r="D2683" s="153">
        <f t="shared" si="41"/>
        <v>0.80606250000000002</v>
      </c>
      <c r="E2683" s="43">
        <v>22980.725680640127</v>
      </c>
      <c r="F2683" s="43">
        <v>6.9466873099184454</v>
      </c>
    </row>
    <row r="2684" spans="1:6">
      <c r="A2684" s="149" t="s">
        <v>2962</v>
      </c>
      <c r="B2684" s="146" t="s">
        <v>2740</v>
      </c>
      <c r="C2684" s="44">
        <v>12897</v>
      </c>
      <c r="D2684" s="153">
        <f t="shared" si="41"/>
        <v>0.80606250000000002</v>
      </c>
      <c r="E2684" s="43">
        <v>22980.725680640127</v>
      </c>
      <c r="F2684" s="43">
        <v>6.9466873099184454</v>
      </c>
    </row>
    <row r="2685" spans="1:6">
      <c r="A2685" s="149" t="s">
        <v>2962</v>
      </c>
      <c r="B2685" s="146" t="s">
        <v>2741</v>
      </c>
      <c r="C2685" s="44">
        <v>12897</v>
      </c>
      <c r="D2685" s="153">
        <f t="shared" si="41"/>
        <v>0.80606250000000002</v>
      </c>
      <c r="E2685" s="43">
        <v>22980.725680640127</v>
      </c>
      <c r="F2685" s="43">
        <v>6.9466873099184454</v>
      </c>
    </row>
    <row r="2686" spans="1:6">
      <c r="A2686" s="149" t="s">
        <v>2962</v>
      </c>
      <c r="B2686" s="146" t="s">
        <v>2742</v>
      </c>
      <c r="C2686" s="44">
        <v>12897</v>
      </c>
      <c r="D2686" s="153">
        <f t="shared" si="41"/>
        <v>0.80606250000000002</v>
      </c>
      <c r="E2686" s="43">
        <v>22980.725680640127</v>
      </c>
      <c r="F2686" s="43">
        <v>6.9466873099184454</v>
      </c>
    </row>
    <row r="2687" spans="1:6">
      <c r="A2687" s="149" t="s">
        <v>2962</v>
      </c>
      <c r="B2687" s="146" t="s">
        <v>2743</v>
      </c>
      <c r="C2687" s="44">
        <v>12896</v>
      </c>
      <c r="D2687" s="153">
        <f t="shared" si="41"/>
        <v>0.80600000000000005</v>
      </c>
      <c r="E2687" s="43">
        <v>22979.066022544284</v>
      </c>
      <c r="F2687" s="43">
        <v>6.9481656501833413</v>
      </c>
    </row>
    <row r="2688" spans="1:6">
      <c r="A2688" s="149" t="s">
        <v>2962</v>
      </c>
      <c r="B2688" s="146" t="s">
        <v>2744</v>
      </c>
      <c r="C2688" s="44">
        <v>12896</v>
      </c>
      <c r="D2688" s="153">
        <f t="shared" si="41"/>
        <v>0.80600000000000005</v>
      </c>
      <c r="E2688" s="43">
        <v>22979.066022544284</v>
      </c>
      <c r="F2688" s="43">
        <v>6.9481656501833413</v>
      </c>
    </row>
    <row r="2689" spans="1:6">
      <c r="A2689" s="149" t="s">
        <v>2962</v>
      </c>
      <c r="B2689" s="146" t="s">
        <v>2745</v>
      </c>
      <c r="C2689" s="44">
        <v>12896</v>
      </c>
      <c r="D2689" s="153">
        <f t="shared" si="41"/>
        <v>0.80600000000000005</v>
      </c>
      <c r="E2689" s="43">
        <v>22979.066022544284</v>
      </c>
      <c r="F2689" s="43">
        <v>6.9481656501833413</v>
      </c>
    </row>
    <row r="2690" spans="1:6">
      <c r="A2690" s="149" t="s">
        <v>2962</v>
      </c>
      <c r="B2690" s="146" t="s">
        <v>2746</v>
      </c>
      <c r="C2690" s="44">
        <v>12896</v>
      </c>
      <c r="D2690" s="153">
        <f t="shared" si="41"/>
        <v>0.80600000000000005</v>
      </c>
      <c r="E2690" s="43">
        <v>22979.066022544284</v>
      </c>
      <c r="F2690" s="43">
        <v>6.9481656501833413</v>
      </c>
    </row>
    <row r="2691" spans="1:6">
      <c r="A2691" s="149" t="s">
        <v>2962</v>
      </c>
      <c r="B2691" s="146" t="s">
        <v>2747</v>
      </c>
      <c r="C2691" s="44">
        <v>12896</v>
      </c>
      <c r="D2691" s="153">
        <f t="shared" si="41"/>
        <v>0.80600000000000005</v>
      </c>
      <c r="E2691" s="43">
        <v>22979.066022544284</v>
      </c>
      <c r="F2691" s="43">
        <v>6.9481656501833413</v>
      </c>
    </row>
    <row r="2692" spans="1:6">
      <c r="A2692" s="149" t="s">
        <v>2962</v>
      </c>
      <c r="B2692" s="146" t="s">
        <v>2748</v>
      </c>
      <c r="C2692" s="44">
        <v>12896</v>
      </c>
      <c r="D2692" s="153">
        <f t="shared" si="41"/>
        <v>0.80600000000000005</v>
      </c>
      <c r="E2692" s="43">
        <v>22979.066022544284</v>
      </c>
      <c r="F2692" s="43">
        <v>6.9481656501833413</v>
      </c>
    </row>
    <row r="2693" spans="1:6">
      <c r="A2693" s="149" t="s">
        <v>2962</v>
      </c>
      <c r="B2693" s="146" t="s">
        <v>2749</v>
      </c>
      <c r="C2693" s="44">
        <v>12895</v>
      </c>
      <c r="D2693" s="153">
        <f t="shared" si="41"/>
        <v>0.80593749999999997</v>
      </c>
      <c r="E2693" s="43">
        <v>22977.406531474866</v>
      </c>
      <c r="F2693" s="43">
        <v>6.9496439619119883</v>
      </c>
    </row>
    <row r="2694" spans="1:6">
      <c r="A2694" s="149" t="s">
        <v>2962</v>
      </c>
      <c r="B2694" s="146" t="s">
        <v>2750</v>
      </c>
      <c r="C2694" s="44">
        <v>12895</v>
      </c>
      <c r="D2694" s="153">
        <f t="shared" si="41"/>
        <v>0.80593749999999997</v>
      </c>
      <c r="E2694" s="43">
        <v>22977.406531474866</v>
      </c>
      <c r="F2694" s="43">
        <v>6.9496439619119883</v>
      </c>
    </row>
    <row r="2695" spans="1:6">
      <c r="A2695" s="149" t="s">
        <v>2962</v>
      </c>
      <c r="B2695" s="146" t="s">
        <v>2751</v>
      </c>
      <c r="C2695" s="44">
        <v>12895</v>
      </c>
      <c r="D2695" s="153">
        <f t="shared" ref="D2695:D2758" si="42">C2695/32768*4.096/2</f>
        <v>0.80593749999999997</v>
      </c>
      <c r="E2695" s="43">
        <v>22977.406531474866</v>
      </c>
      <c r="F2695" s="43">
        <v>6.9496439619119883</v>
      </c>
    </row>
    <row r="2696" spans="1:6">
      <c r="A2696" s="149" t="s">
        <v>2962</v>
      </c>
      <c r="B2696" s="146" t="s">
        <v>2752</v>
      </c>
      <c r="C2696" s="44">
        <v>12895</v>
      </c>
      <c r="D2696" s="153">
        <f t="shared" si="42"/>
        <v>0.80593749999999997</v>
      </c>
      <c r="E2696" s="43">
        <v>22977.406531474866</v>
      </c>
      <c r="F2696" s="43">
        <v>6.9496439619119883</v>
      </c>
    </row>
    <row r="2697" spans="1:6">
      <c r="A2697" s="149" t="s">
        <v>2962</v>
      </c>
      <c r="B2697" s="146" t="s">
        <v>2753</v>
      </c>
      <c r="C2697" s="44">
        <v>12895</v>
      </c>
      <c r="D2697" s="153">
        <f t="shared" si="42"/>
        <v>0.80593749999999997</v>
      </c>
      <c r="E2697" s="43">
        <v>22977.406531474866</v>
      </c>
      <c r="F2697" s="43">
        <v>6.9496439619119883</v>
      </c>
    </row>
    <row r="2698" spans="1:6">
      <c r="A2698" s="149" t="s">
        <v>2962</v>
      </c>
      <c r="B2698" s="146" t="s">
        <v>2754</v>
      </c>
      <c r="C2698" s="44">
        <v>12894</v>
      </c>
      <c r="D2698" s="153">
        <f t="shared" si="42"/>
        <v>0.80587500000000001</v>
      </c>
      <c r="E2698" s="43">
        <v>22975.747207406661</v>
      </c>
      <c r="F2698" s="43">
        <v>6.9511222451088202</v>
      </c>
    </row>
    <row r="2699" spans="1:6">
      <c r="A2699" s="149" t="s">
        <v>2962</v>
      </c>
      <c r="B2699" s="146" t="s">
        <v>2755</v>
      </c>
      <c r="C2699" s="44">
        <v>12894</v>
      </c>
      <c r="D2699" s="153">
        <f t="shared" si="42"/>
        <v>0.80587500000000001</v>
      </c>
      <c r="E2699" s="43">
        <v>22975.747207406661</v>
      </c>
      <c r="F2699" s="43">
        <v>6.9511222451088202</v>
      </c>
    </row>
    <row r="2700" spans="1:6">
      <c r="A2700" s="149" t="s">
        <v>2962</v>
      </c>
      <c r="B2700" s="146" t="s">
        <v>2756</v>
      </c>
      <c r="C2700" s="44">
        <v>12894</v>
      </c>
      <c r="D2700" s="153">
        <f t="shared" si="42"/>
        <v>0.80587500000000001</v>
      </c>
      <c r="E2700" s="43">
        <v>22975.747207406661</v>
      </c>
      <c r="F2700" s="43">
        <v>6.9511222451088202</v>
      </c>
    </row>
    <row r="2701" spans="1:6">
      <c r="A2701" s="149" t="s">
        <v>2962</v>
      </c>
      <c r="B2701" s="146" t="s">
        <v>2757</v>
      </c>
      <c r="C2701" s="44">
        <v>12894</v>
      </c>
      <c r="D2701" s="153">
        <f t="shared" si="42"/>
        <v>0.80587500000000001</v>
      </c>
      <c r="E2701" s="43">
        <v>22975.747207406661</v>
      </c>
      <c r="F2701" s="43">
        <v>6.9511222451088202</v>
      </c>
    </row>
    <row r="2702" spans="1:6">
      <c r="A2702" s="149" t="s">
        <v>2962</v>
      </c>
      <c r="B2702" s="146" t="s">
        <v>2758</v>
      </c>
      <c r="C2702" s="44">
        <v>12894</v>
      </c>
      <c r="D2702" s="153">
        <f t="shared" si="42"/>
        <v>0.80587500000000001</v>
      </c>
      <c r="E2702" s="43">
        <v>22975.747207406661</v>
      </c>
      <c r="F2702" s="43">
        <v>6.9511222451088202</v>
      </c>
    </row>
    <row r="2703" spans="1:6">
      <c r="A2703" s="149" t="s">
        <v>2962</v>
      </c>
      <c r="B2703" s="146" t="s">
        <v>2759</v>
      </c>
      <c r="C2703" s="44">
        <v>12894</v>
      </c>
      <c r="D2703" s="153">
        <f t="shared" si="42"/>
        <v>0.80587500000000001</v>
      </c>
      <c r="E2703" s="43">
        <v>22975.747207406661</v>
      </c>
      <c r="F2703" s="43">
        <v>6.9511222451088202</v>
      </c>
    </row>
    <row r="2704" spans="1:6">
      <c r="A2704" s="149" t="s">
        <v>2962</v>
      </c>
      <c r="B2704" s="146" t="s">
        <v>2760</v>
      </c>
      <c r="C2704" s="44">
        <v>12894</v>
      </c>
      <c r="D2704" s="153">
        <f t="shared" si="42"/>
        <v>0.80587500000000001</v>
      </c>
      <c r="E2704" s="43">
        <v>22975.747207406661</v>
      </c>
      <c r="F2704" s="43">
        <v>6.9511222451088202</v>
      </c>
    </row>
    <row r="2705" spans="1:6">
      <c r="A2705" s="149" t="s">
        <v>2962</v>
      </c>
      <c r="B2705" s="146" t="s">
        <v>2761</v>
      </c>
      <c r="C2705" s="44">
        <v>12894</v>
      </c>
      <c r="D2705" s="153">
        <f t="shared" si="42"/>
        <v>0.80587500000000001</v>
      </c>
      <c r="E2705" s="43">
        <v>22975.747207406661</v>
      </c>
      <c r="F2705" s="43">
        <v>6.9511222451088202</v>
      </c>
    </row>
    <row r="2706" spans="1:6">
      <c r="A2706" s="149" t="s">
        <v>2962</v>
      </c>
      <c r="B2706" s="146" t="s">
        <v>2762</v>
      </c>
      <c r="C2706" s="44">
        <v>12893</v>
      </c>
      <c r="D2706" s="153">
        <f t="shared" si="42"/>
        <v>0.80581250000000004</v>
      </c>
      <c r="E2706" s="43">
        <v>22974.088050314465</v>
      </c>
      <c r="F2706" s="43">
        <v>6.9526004997786117</v>
      </c>
    </row>
    <row r="2707" spans="1:6">
      <c r="A2707" s="149" t="s">
        <v>2962</v>
      </c>
      <c r="B2707" s="146" t="s">
        <v>2763</v>
      </c>
      <c r="C2707" s="44">
        <v>12893</v>
      </c>
      <c r="D2707" s="153">
        <f t="shared" si="42"/>
        <v>0.80581250000000004</v>
      </c>
      <c r="E2707" s="43">
        <v>22974.088050314465</v>
      </c>
      <c r="F2707" s="43">
        <v>6.9526004997786117</v>
      </c>
    </row>
    <row r="2708" spans="1:6">
      <c r="A2708" s="149" t="s">
        <v>2962</v>
      </c>
      <c r="B2708" s="146" t="s">
        <v>2764</v>
      </c>
      <c r="C2708" s="44">
        <v>12893</v>
      </c>
      <c r="D2708" s="153">
        <f t="shared" si="42"/>
        <v>0.80581250000000004</v>
      </c>
      <c r="E2708" s="43">
        <v>22974.088050314465</v>
      </c>
      <c r="F2708" s="43">
        <v>6.9526004997786117</v>
      </c>
    </row>
    <row r="2709" spans="1:6">
      <c r="A2709" s="149" t="s">
        <v>2962</v>
      </c>
      <c r="B2709" s="146" t="s">
        <v>2765</v>
      </c>
      <c r="C2709" s="44">
        <v>12893</v>
      </c>
      <c r="D2709" s="153">
        <f t="shared" si="42"/>
        <v>0.80581250000000004</v>
      </c>
      <c r="E2709" s="43">
        <v>22974.088050314465</v>
      </c>
      <c r="F2709" s="43">
        <v>6.9526004997786117</v>
      </c>
    </row>
    <row r="2710" spans="1:6">
      <c r="A2710" s="149" t="s">
        <v>2962</v>
      </c>
      <c r="B2710" s="146" t="s">
        <v>2766</v>
      </c>
      <c r="C2710" s="44">
        <v>12893</v>
      </c>
      <c r="D2710" s="153">
        <f t="shared" si="42"/>
        <v>0.80581250000000004</v>
      </c>
      <c r="E2710" s="43">
        <v>22974.088050314465</v>
      </c>
      <c r="F2710" s="43">
        <v>6.9526004997786117</v>
      </c>
    </row>
    <row r="2711" spans="1:6">
      <c r="A2711" s="149" t="s">
        <v>2962</v>
      </c>
      <c r="B2711" s="146" t="s">
        <v>2767</v>
      </c>
      <c r="C2711" s="44">
        <v>12893</v>
      </c>
      <c r="D2711" s="153">
        <f t="shared" si="42"/>
        <v>0.80581250000000004</v>
      </c>
      <c r="E2711" s="43">
        <v>22974.088050314465</v>
      </c>
      <c r="F2711" s="43">
        <v>6.9526004997786117</v>
      </c>
    </row>
    <row r="2712" spans="1:6">
      <c r="A2712" s="149" t="s">
        <v>2962</v>
      </c>
      <c r="B2712" s="146" t="s">
        <v>2768</v>
      </c>
      <c r="C2712" s="44">
        <v>12893</v>
      </c>
      <c r="D2712" s="153">
        <f t="shared" si="42"/>
        <v>0.80581250000000004</v>
      </c>
      <c r="E2712" s="43">
        <v>22974.088050314465</v>
      </c>
      <c r="F2712" s="43">
        <v>6.9526004997786117</v>
      </c>
    </row>
    <row r="2713" spans="1:6">
      <c r="A2713" s="149" t="s">
        <v>2962</v>
      </c>
      <c r="B2713" s="146" t="s">
        <v>2769</v>
      </c>
      <c r="C2713" s="44">
        <v>12893</v>
      </c>
      <c r="D2713" s="153">
        <f t="shared" si="42"/>
        <v>0.80581250000000004</v>
      </c>
      <c r="E2713" s="43">
        <v>22974.088050314465</v>
      </c>
      <c r="F2713" s="43">
        <v>6.9526004997786117</v>
      </c>
    </row>
    <row r="2714" spans="1:6">
      <c r="A2714" s="149" t="s">
        <v>2962</v>
      </c>
      <c r="B2714" s="146" t="s">
        <v>2770</v>
      </c>
      <c r="C2714" s="44">
        <v>12893</v>
      </c>
      <c r="D2714" s="153">
        <f t="shared" si="42"/>
        <v>0.80581250000000004</v>
      </c>
      <c r="E2714" s="43">
        <v>22974.088050314465</v>
      </c>
      <c r="F2714" s="43">
        <v>6.9526004997786117</v>
      </c>
    </row>
    <row r="2715" spans="1:6">
      <c r="A2715" s="149" t="s">
        <v>2962</v>
      </c>
      <c r="B2715" s="146" t="s">
        <v>2771</v>
      </c>
      <c r="C2715" s="44">
        <v>12893</v>
      </c>
      <c r="D2715" s="153">
        <f t="shared" si="42"/>
        <v>0.80581250000000004</v>
      </c>
      <c r="E2715" s="43">
        <v>22974.088050314465</v>
      </c>
      <c r="F2715" s="43">
        <v>6.9526004997786117</v>
      </c>
    </row>
    <row r="2716" spans="1:6">
      <c r="A2716" s="149" t="s">
        <v>2962</v>
      </c>
      <c r="B2716" s="146" t="s">
        <v>2772</v>
      </c>
      <c r="C2716" s="44">
        <v>12892</v>
      </c>
      <c r="D2716" s="153">
        <f t="shared" si="42"/>
        <v>0.80574999999999997</v>
      </c>
      <c r="E2716" s="43">
        <v>22972.429060173072</v>
      </c>
      <c r="F2716" s="43">
        <v>6.9540787259261378</v>
      </c>
    </row>
    <row r="2717" spans="1:6">
      <c r="A2717" s="149" t="s">
        <v>2962</v>
      </c>
      <c r="B2717" s="146" t="s">
        <v>2773</v>
      </c>
      <c r="C2717" s="44">
        <v>12892</v>
      </c>
      <c r="D2717" s="153">
        <f t="shared" si="42"/>
        <v>0.80574999999999997</v>
      </c>
      <c r="E2717" s="43">
        <v>22972.429060173072</v>
      </c>
      <c r="F2717" s="43">
        <v>6.9540787259261378</v>
      </c>
    </row>
    <row r="2718" spans="1:6">
      <c r="A2718" s="149" t="s">
        <v>2962</v>
      </c>
      <c r="B2718" s="146" t="s">
        <v>2774</v>
      </c>
      <c r="C2718" s="44">
        <v>12892</v>
      </c>
      <c r="D2718" s="153">
        <f t="shared" si="42"/>
        <v>0.80574999999999997</v>
      </c>
      <c r="E2718" s="43">
        <v>22972.429060173072</v>
      </c>
      <c r="F2718" s="43">
        <v>6.9540787259261378</v>
      </c>
    </row>
    <row r="2719" spans="1:6">
      <c r="A2719" s="149" t="s">
        <v>2962</v>
      </c>
      <c r="B2719" s="146" t="s">
        <v>2775</v>
      </c>
      <c r="C2719" s="44">
        <v>12892</v>
      </c>
      <c r="D2719" s="153">
        <f t="shared" si="42"/>
        <v>0.80574999999999997</v>
      </c>
      <c r="E2719" s="43">
        <v>22972.429060173072</v>
      </c>
      <c r="F2719" s="43">
        <v>6.9540787259261378</v>
      </c>
    </row>
    <row r="2720" spans="1:6">
      <c r="A2720" s="149" t="s">
        <v>2962</v>
      </c>
      <c r="B2720" s="146" t="s">
        <v>2776</v>
      </c>
      <c r="C2720" s="44">
        <v>12892</v>
      </c>
      <c r="D2720" s="153">
        <f t="shared" si="42"/>
        <v>0.80574999999999997</v>
      </c>
      <c r="E2720" s="43">
        <v>22972.429060173072</v>
      </c>
      <c r="F2720" s="43">
        <v>6.9540787259261378</v>
      </c>
    </row>
    <row r="2721" spans="1:6">
      <c r="A2721" s="149" t="s">
        <v>2962</v>
      </c>
      <c r="B2721" s="146" t="s">
        <v>2777</v>
      </c>
      <c r="C2721" s="44">
        <v>12892</v>
      </c>
      <c r="D2721" s="153">
        <f t="shared" si="42"/>
        <v>0.80574999999999997</v>
      </c>
      <c r="E2721" s="43">
        <v>22972.429060173072</v>
      </c>
      <c r="F2721" s="43">
        <v>6.9540787259261378</v>
      </c>
    </row>
    <row r="2722" spans="1:6">
      <c r="A2722" s="149" t="s">
        <v>2962</v>
      </c>
      <c r="B2722" s="146" t="s">
        <v>2778</v>
      </c>
      <c r="C2722" s="44">
        <v>12892</v>
      </c>
      <c r="D2722" s="153">
        <f t="shared" si="42"/>
        <v>0.80574999999999997</v>
      </c>
      <c r="E2722" s="43">
        <v>22972.429060173072</v>
      </c>
      <c r="F2722" s="43">
        <v>6.9540787259261378</v>
      </c>
    </row>
    <row r="2723" spans="1:6">
      <c r="A2723" s="149" t="s">
        <v>2962</v>
      </c>
      <c r="B2723" s="146" t="s">
        <v>2779</v>
      </c>
      <c r="C2723" s="44">
        <v>12892</v>
      </c>
      <c r="D2723" s="153">
        <f t="shared" si="42"/>
        <v>0.80574999999999997</v>
      </c>
      <c r="E2723" s="43">
        <v>22972.429060173072</v>
      </c>
      <c r="F2723" s="43">
        <v>6.9540787259261378</v>
      </c>
    </row>
    <row r="2724" spans="1:6">
      <c r="A2724" s="149" t="s">
        <v>2962</v>
      </c>
      <c r="B2724" s="146" t="s">
        <v>2780</v>
      </c>
      <c r="C2724" s="44">
        <v>12892</v>
      </c>
      <c r="D2724" s="153">
        <f t="shared" si="42"/>
        <v>0.80574999999999997</v>
      </c>
      <c r="E2724" s="43">
        <v>22972.429060173072</v>
      </c>
      <c r="F2724" s="43">
        <v>6.9540787259261378</v>
      </c>
    </row>
    <row r="2725" spans="1:6">
      <c r="A2725" s="149" t="s">
        <v>2962</v>
      </c>
      <c r="B2725" s="146" t="s">
        <v>2781</v>
      </c>
      <c r="C2725" s="44">
        <v>12892</v>
      </c>
      <c r="D2725" s="153">
        <f t="shared" si="42"/>
        <v>0.80574999999999997</v>
      </c>
      <c r="E2725" s="43">
        <v>22972.429060173072</v>
      </c>
      <c r="F2725" s="43">
        <v>6.9540787259261378</v>
      </c>
    </row>
    <row r="2726" spans="1:6">
      <c r="A2726" s="149" t="s">
        <v>2962</v>
      </c>
      <c r="B2726" s="146" t="s">
        <v>2782</v>
      </c>
      <c r="C2726" s="44">
        <v>12892</v>
      </c>
      <c r="D2726" s="153">
        <f t="shared" si="42"/>
        <v>0.80574999999999997</v>
      </c>
      <c r="E2726" s="43">
        <v>22972.429060173072</v>
      </c>
      <c r="F2726" s="43">
        <v>6.9540787259261378</v>
      </c>
    </row>
    <row r="2727" spans="1:6">
      <c r="A2727" s="149" t="s">
        <v>2962</v>
      </c>
      <c r="B2727" s="146" t="s">
        <v>2783</v>
      </c>
      <c r="C2727" s="44">
        <v>12891</v>
      </c>
      <c r="D2727" s="153">
        <f t="shared" si="42"/>
        <v>0.8056875</v>
      </c>
      <c r="E2727" s="43">
        <v>22970.770236957287</v>
      </c>
      <c r="F2727" s="43">
        <v>6.9555569235560029</v>
      </c>
    </row>
    <row r="2728" spans="1:6">
      <c r="A2728" s="149" t="s">
        <v>2962</v>
      </c>
      <c r="B2728" s="146" t="s">
        <v>2784</v>
      </c>
      <c r="C2728" s="44">
        <v>12891</v>
      </c>
      <c r="D2728" s="153">
        <f t="shared" si="42"/>
        <v>0.8056875</v>
      </c>
      <c r="E2728" s="43">
        <v>22970.770236957287</v>
      </c>
      <c r="F2728" s="43">
        <v>6.9555569235560029</v>
      </c>
    </row>
    <row r="2729" spans="1:6">
      <c r="A2729" s="149" t="s">
        <v>2962</v>
      </c>
      <c r="B2729" s="146" t="s">
        <v>2785</v>
      </c>
      <c r="C2729" s="44">
        <v>12891</v>
      </c>
      <c r="D2729" s="153">
        <f t="shared" si="42"/>
        <v>0.8056875</v>
      </c>
      <c r="E2729" s="43">
        <v>22970.770236957287</v>
      </c>
      <c r="F2729" s="43">
        <v>6.9555569235560029</v>
      </c>
    </row>
    <row r="2730" spans="1:6">
      <c r="A2730" s="149" t="s">
        <v>2962</v>
      </c>
      <c r="B2730" s="146" t="s">
        <v>2786</v>
      </c>
      <c r="C2730" s="44">
        <v>12891</v>
      </c>
      <c r="D2730" s="153">
        <f t="shared" si="42"/>
        <v>0.8056875</v>
      </c>
      <c r="E2730" s="43">
        <v>22970.770236957287</v>
      </c>
      <c r="F2730" s="43">
        <v>6.9555569235560029</v>
      </c>
    </row>
    <row r="2731" spans="1:6">
      <c r="A2731" s="149" t="s">
        <v>2962</v>
      </c>
      <c r="B2731" s="146" t="s">
        <v>2787</v>
      </c>
      <c r="C2731" s="44">
        <v>12891</v>
      </c>
      <c r="D2731" s="153">
        <f t="shared" si="42"/>
        <v>0.8056875</v>
      </c>
      <c r="E2731" s="43">
        <v>22970.770236957287</v>
      </c>
      <c r="F2731" s="43">
        <v>6.9555569235560029</v>
      </c>
    </row>
    <row r="2732" spans="1:6">
      <c r="A2732" s="149" t="s">
        <v>2962</v>
      </c>
      <c r="B2732" s="146" t="s">
        <v>2788</v>
      </c>
      <c r="C2732" s="44">
        <v>12891</v>
      </c>
      <c r="D2732" s="153">
        <f t="shared" si="42"/>
        <v>0.8056875</v>
      </c>
      <c r="E2732" s="43">
        <v>22970.770236957287</v>
      </c>
      <c r="F2732" s="43">
        <v>6.9555569235560029</v>
      </c>
    </row>
    <row r="2733" spans="1:6">
      <c r="A2733" s="149" t="s">
        <v>2962</v>
      </c>
      <c r="B2733" s="146" t="s">
        <v>2789</v>
      </c>
      <c r="C2733" s="44">
        <v>12891</v>
      </c>
      <c r="D2733" s="153">
        <f t="shared" si="42"/>
        <v>0.8056875</v>
      </c>
      <c r="E2733" s="43">
        <v>22970.770236957287</v>
      </c>
      <c r="F2733" s="43">
        <v>6.9555569235560029</v>
      </c>
    </row>
    <row r="2734" spans="1:6">
      <c r="A2734" s="149" t="s">
        <v>2962</v>
      </c>
      <c r="B2734" s="146" t="s">
        <v>2790</v>
      </c>
      <c r="C2734" s="44">
        <v>12891</v>
      </c>
      <c r="D2734" s="153">
        <f t="shared" si="42"/>
        <v>0.8056875</v>
      </c>
      <c r="E2734" s="43">
        <v>22970.770236957287</v>
      </c>
      <c r="F2734" s="43">
        <v>6.9555569235560029</v>
      </c>
    </row>
    <row r="2735" spans="1:6">
      <c r="A2735" s="149" t="s">
        <v>2962</v>
      </c>
      <c r="B2735" s="146" t="s">
        <v>2791</v>
      </c>
      <c r="C2735" s="44">
        <v>12891</v>
      </c>
      <c r="D2735" s="153">
        <f t="shared" si="42"/>
        <v>0.8056875</v>
      </c>
      <c r="E2735" s="43">
        <v>22970.770236957287</v>
      </c>
      <c r="F2735" s="43">
        <v>6.9555569235560029</v>
      </c>
    </row>
    <row r="2736" spans="1:6">
      <c r="A2736" s="149" t="s">
        <v>2962</v>
      </c>
      <c r="B2736" s="146" t="s">
        <v>2792</v>
      </c>
      <c r="C2736" s="44">
        <v>12891</v>
      </c>
      <c r="D2736" s="153">
        <f t="shared" si="42"/>
        <v>0.8056875</v>
      </c>
      <c r="E2736" s="43">
        <v>22970.770236957287</v>
      </c>
      <c r="F2736" s="43">
        <v>6.9555569235560029</v>
      </c>
    </row>
    <row r="2737" spans="1:6">
      <c r="A2737" s="149" t="s">
        <v>2962</v>
      </c>
      <c r="B2737" s="146" t="s">
        <v>2793</v>
      </c>
      <c r="C2737" s="44">
        <v>12891</v>
      </c>
      <c r="D2737" s="153">
        <f t="shared" si="42"/>
        <v>0.8056875</v>
      </c>
      <c r="E2737" s="43">
        <v>22970.770236957287</v>
      </c>
      <c r="F2737" s="43">
        <v>6.9555569235560029</v>
      </c>
    </row>
    <row r="2738" spans="1:6">
      <c r="A2738" s="149" t="s">
        <v>2962</v>
      </c>
      <c r="B2738" s="146" t="s">
        <v>2794</v>
      </c>
      <c r="C2738" s="44">
        <v>12891</v>
      </c>
      <c r="D2738" s="153">
        <f t="shared" si="42"/>
        <v>0.8056875</v>
      </c>
      <c r="E2738" s="43">
        <v>22970.770236957287</v>
      </c>
      <c r="F2738" s="43">
        <v>6.9555569235560029</v>
      </c>
    </row>
    <row r="2739" spans="1:6">
      <c r="A2739" s="149" t="s">
        <v>2962</v>
      </c>
      <c r="B2739" s="146" t="s">
        <v>2795</v>
      </c>
      <c r="C2739" s="44">
        <v>12891</v>
      </c>
      <c r="D2739" s="153">
        <f t="shared" si="42"/>
        <v>0.8056875</v>
      </c>
      <c r="E2739" s="43">
        <v>22970.770236957287</v>
      </c>
      <c r="F2739" s="43">
        <v>6.9555569235560029</v>
      </c>
    </row>
    <row r="2740" spans="1:6">
      <c r="A2740" s="149" t="s">
        <v>2962</v>
      </c>
      <c r="B2740" s="146" t="s">
        <v>2796</v>
      </c>
      <c r="C2740" s="44">
        <v>12891</v>
      </c>
      <c r="D2740" s="153">
        <f t="shared" si="42"/>
        <v>0.8056875</v>
      </c>
      <c r="E2740" s="43">
        <v>22970.770236957287</v>
      </c>
      <c r="F2740" s="43">
        <v>6.9555569235560029</v>
      </c>
    </row>
    <row r="2741" spans="1:6">
      <c r="A2741" s="149" t="s">
        <v>2962</v>
      </c>
      <c r="B2741" s="146" t="s">
        <v>2797</v>
      </c>
      <c r="C2741" s="44">
        <v>12891</v>
      </c>
      <c r="D2741" s="153">
        <f t="shared" si="42"/>
        <v>0.8056875</v>
      </c>
      <c r="E2741" s="43">
        <v>22970.770236957287</v>
      </c>
      <c r="F2741" s="43">
        <v>6.9555569235560029</v>
      </c>
    </row>
    <row r="2742" spans="1:6">
      <c r="A2742" s="149" t="s">
        <v>2962</v>
      </c>
      <c r="B2742" s="146" t="s">
        <v>2798</v>
      </c>
      <c r="C2742" s="44">
        <v>12891</v>
      </c>
      <c r="D2742" s="153">
        <f t="shared" si="42"/>
        <v>0.8056875</v>
      </c>
      <c r="E2742" s="43">
        <v>22970.770236957287</v>
      </c>
      <c r="F2742" s="43">
        <v>6.9555569235560029</v>
      </c>
    </row>
    <row r="2743" spans="1:6">
      <c r="A2743" s="149" t="s">
        <v>2962</v>
      </c>
      <c r="B2743" s="146" t="s">
        <v>2799</v>
      </c>
      <c r="C2743" s="44">
        <v>12891</v>
      </c>
      <c r="D2743" s="153">
        <f t="shared" si="42"/>
        <v>0.8056875</v>
      </c>
      <c r="E2743" s="43">
        <v>22970.770236957287</v>
      </c>
      <c r="F2743" s="43">
        <v>6.9555569235560029</v>
      </c>
    </row>
    <row r="2744" spans="1:6">
      <c r="A2744" s="149" t="s">
        <v>2962</v>
      </c>
      <c r="B2744" s="146" t="s">
        <v>2800</v>
      </c>
      <c r="C2744" s="44">
        <v>12891</v>
      </c>
      <c r="D2744" s="153">
        <f t="shared" si="42"/>
        <v>0.8056875</v>
      </c>
      <c r="E2744" s="43">
        <v>22970.770236957287</v>
      </c>
      <c r="F2744" s="43">
        <v>6.9555569235560029</v>
      </c>
    </row>
    <row r="2745" spans="1:6">
      <c r="A2745" s="149" t="s">
        <v>2962</v>
      </c>
      <c r="B2745" s="146" t="s">
        <v>2801</v>
      </c>
      <c r="C2745" s="44">
        <v>12890</v>
      </c>
      <c r="D2745" s="153">
        <f t="shared" si="42"/>
        <v>0.80562500000000004</v>
      </c>
      <c r="E2745" s="43">
        <v>22969.111580641915</v>
      </c>
      <c r="F2745" s="43">
        <v>6.9570350926729816</v>
      </c>
    </row>
    <row r="2746" spans="1:6">
      <c r="A2746" s="149" t="s">
        <v>2962</v>
      </c>
      <c r="B2746" s="146" t="s">
        <v>2802</v>
      </c>
      <c r="C2746" s="44">
        <v>12890</v>
      </c>
      <c r="D2746" s="153">
        <f t="shared" si="42"/>
        <v>0.80562500000000004</v>
      </c>
      <c r="E2746" s="43">
        <v>22969.111580641915</v>
      </c>
      <c r="F2746" s="43">
        <v>6.9570350926729816</v>
      </c>
    </row>
    <row r="2747" spans="1:6">
      <c r="A2747" s="149" t="s">
        <v>2962</v>
      </c>
      <c r="B2747" s="146" t="s">
        <v>2803</v>
      </c>
      <c r="C2747" s="44">
        <v>12890</v>
      </c>
      <c r="D2747" s="153">
        <f t="shared" si="42"/>
        <v>0.80562500000000004</v>
      </c>
      <c r="E2747" s="43">
        <v>22969.111580641915</v>
      </c>
      <c r="F2747" s="43">
        <v>6.9570350926729816</v>
      </c>
    </row>
    <row r="2748" spans="1:6">
      <c r="A2748" s="149" t="s">
        <v>2962</v>
      </c>
      <c r="B2748" s="146" t="s">
        <v>2804</v>
      </c>
      <c r="C2748" s="44">
        <v>12890</v>
      </c>
      <c r="D2748" s="153">
        <f t="shared" si="42"/>
        <v>0.80562500000000004</v>
      </c>
      <c r="E2748" s="43">
        <v>22969.111580641915</v>
      </c>
      <c r="F2748" s="43">
        <v>6.9570350926729816</v>
      </c>
    </row>
    <row r="2749" spans="1:6">
      <c r="A2749" s="149" t="s">
        <v>2962</v>
      </c>
      <c r="B2749" s="146" t="s">
        <v>2805</v>
      </c>
      <c r="C2749" s="44">
        <v>12890</v>
      </c>
      <c r="D2749" s="153">
        <f t="shared" si="42"/>
        <v>0.80562500000000004</v>
      </c>
      <c r="E2749" s="43">
        <v>22969.111580641915</v>
      </c>
      <c r="F2749" s="43">
        <v>6.9570350926729816</v>
      </c>
    </row>
    <row r="2750" spans="1:6">
      <c r="A2750" s="149" t="s">
        <v>2962</v>
      </c>
      <c r="B2750" s="146" t="s">
        <v>2806</v>
      </c>
      <c r="C2750" s="44">
        <v>12890</v>
      </c>
      <c r="D2750" s="153">
        <f t="shared" si="42"/>
        <v>0.80562500000000004</v>
      </c>
      <c r="E2750" s="43">
        <v>22969.111580641915</v>
      </c>
      <c r="F2750" s="43">
        <v>6.9570350926729816</v>
      </c>
    </row>
    <row r="2751" spans="1:6">
      <c r="A2751" s="149" t="s">
        <v>2962</v>
      </c>
      <c r="B2751" s="146" t="s">
        <v>2807</v>
      </c>
      <c r="C2751" s="44">
        <v>12890</v>
      </c>
      <c r="D2751" s="153">
        <f t="shared" si="42"/>
        <v>0.80562500000000004</v>
      </c>
      <c r="E2751" s="43">
        <v>22969.111580641915</v>
      </c>
      <c r="F2751" s="43">
        <v>6.9570350926729816</v>
      </c>
    </row>
    <row r="2752" spans="1:6">
      <c r="A2752" s="149" t="s">
        <v>2962</v>
      </c>
      <c r="B2752" s="146" t="s">
        <v>2808</v>
      </c>
      <c r="C2752" s="44">
        <v>12890</v>
      </c>
      <c r="D2752" s="153">
        <f t="shared" si="42"/>
        <v>0.80562500000000004</v>
      </c>
      <c r="E2752" s="43">
        <v>22969.111580641915</v>
      </c>
      <c r="F2752" s="43">
        <v>6.9570350926729816</v>
      </c>
    </row>
    <row r="2753" spans="1:6">
      <c r="A2753" s="149" t="s">
        <v>2962</v>
      </c>
      <c r="B2753" s="146" t="s">
        <v>2809</v>
      </c>
      <c r="C2753" s="44">
        <v>12890</v>
      </c>
      <c r="D2753" s="153">
        <f t="shared" si="42"/>
        <v>0.80562500000000004</v>
      </c>
      <c r="E2753" s="43">
        <v>22969.111580641915</v>
      </c>
      <c r="F2753" s="43">
        <v>6.9570350926729816</v>
      </c>
    </row>
    <row r="2754" spans="1:6">
      <c r="A2754" s="149" t="s">
        <v>2962</v>
      </c>
      <c r="B2754" s="146" t="s">
        <v>2810</v>
      </c>
      <c r="C2754" s="44">
        <v>12890</v>
      </c>
      <c r="D2754" s="153">
        <f t="shared" si="42"/>
        <v>0.80562500000000004</v>
      </c>
      <c r="E2754" s="43">
        <v>22969.111580641915</v>
      </c>
      <c r="F2754" s="43">
        <v>6.9570350926729816</v>
      </c>
    </row>
    <row r="2755" spans="1:6">
      <c r="A2755" s="149" t="s">
        <v>2962</v>
      </c>
      <c r="B2755" s="146" t="s">
        <v>2811</v>
      </c>
      <c r="C2755" s="44">
        <v>12890</v>
      </c>
      <c r="D2755" s="153">
        <f t="shared" si="42"/>
        <v>0.80562500000000004</v>
      </c>
      <c r="E2755" s="43">
        <v>22969.111580641915</v>
      </c>
      <c r="F2755" s="43">
        <v>6.9570350926729816</v>
      </c>
    </row>
    <row r="2756" spans="1:6">
      <c r="A2756" s="149" t="s">
        <v>2962</v>
      </c>
      <c r="B2756" s="146" t="s">
        <v>2812</v>
      </c>
      <c r="C2756" s="44">
        <v>12890</v>
      </c>
      <c r="D2756" s="153">
        <f t="shared" si="42"/>
        <v>0.80562500000000004</v>
      </c>
      <c r="E2756" s="43">
        <v>22969.111580641915</v>
      </c>
      <c r="F2756" s="43">
        <v>6.9570350926729816</v>
      </c>
    </row>
    <row r="2757" spans="1:6">
      <c r="A2757" s="149" t="s">
        <v>2962</v>
      </c>
      <c r="B2757" s="146" t="s">
        <v>2813</v>
      </c>
      <c r="C2757" s="44">
        <v>12890</v>
      </c>
      <c r="D2757" s="153">
        <f t="shared" si="42"/>
        <v>0.80562500000000004</v>
      </c>
      <c r="E2757" s="43">
        <v>22969.111580641915</v>
      </c>
      <c r="F2757" s="43">
        <v>6.9570350926729816</v>
      </c>
    </row>
    <row r="2758" spans="1:6">
      <c r="A2758" s="149" t="s">
        <v>2962</v>
      </c>
      <c r="B2758" s="146" t="s">
        <v>2814</v>
      </c>
      <c r="C2758" s="44">
        <v>12890</v>
      </c>
      <c r="D2758" s="153">
        <f t="shared" si="42"/>
        <v>0.80562500000000004</v>
      </c>
      <c r="E2758" s="43">
        <v>22969.111580641915</v>
      </c>
      <c r="F2758" s="43">
        <v>6.9570350926729816</v>
      </c>
    </row>
    <row r="2759" spans="1:6">
      <c r="A2759" s="149" t="s">
        <v>2962</v>
      </c>
      <c r="B2759" s="146" t="s">
        <v>2815</v>
      </c>
      <c r="C2759" s="44">
        <v>12890</v>
      </c>
      <c r="D2759" s="153">
        <f t="shared" ref="D2759:D2822" si="43">C2759/32768*4.096/2</f>
        <v>0.80562500000000004</v>
      </c>
      <c r="E2759" s="43">
        <v>22969.111580641915</v>
      </c>
      <c r="F2759" s="43">
        <v>6.9570350926729816</v>
      </c>
    </row>
    <row r="2760" spans="1:6">
      <c r="A2760" s="149" t="s">
        <v>2962</v>
      </c>
      <c r="B2760" s="146" t="s">
        <v>2816</v>
      </c>
      <c r="C2760" s="44">
        <v>12890</v>
      </c>
      <c r="D2760" s="153">
        <f t="shared" si="43"/>
        <v>0.80562500000000004</v>
      </c>
      <c r="E2760" s="43">
        <v>22969.111580641915</v>
      </c>
      <c r="F2760" s="43">
        <v>6.9570350926729816</v>
      </c>
    </row>
    <row r="2761" spans="1:6">
      <c r="A2761" s="149" t="s">
        <v>2962</v>
      </c>
      <c r="B2761" s="146" t="s">
        <v>2817</v>
      </c>
      <c r="C2761" s="44">
        <v>12890</v>
      </c>
      <c r="D2761" s="153">
        <f t="shared" si="43"/>
        <v>0.80562500000000004</v>
      </c>
      <c r="E2761" s="43">
        <v>22969.111580641915</v>
      </c>
      <c r="F2761" s="43">
        <v>6.9570350926729816</v>
      </c>
    </row>
    <row r="2762" spans="1:6">
      <c r="A2762" s="149" t="s">
        <v>2962</v>
      </c>
      <c r="B2762" s="146" t="s">
        <v>2818</v>
      </c>
      <c r="C2762" s="44">
        <v>12890</v>
      </c>
      <c r="D2762" s="153">
        <f t="shared" si="43"/>
        <v>0.80562500000000004</v>
      </c>
      <c r="E2762" s="43">
        <v>22969.111580641915</v>
      </c>
      <c r="F2762" s="43">
        <v>6.9570350926729816</v>
      </c>
    </row>
    <row r="2763" spans="1:6">
      <c r="A2763" s="149" t="s">
        <v>2962</v>
      </c>
      <c r="B2763" s="146" t="s">
        <v>2819</v>
      </c>
      <c r="C2763" s="44">
        <v>12890</v>
      </c>
      <c r="D2763" s="153">
        <f t="shared" si="43"/>
        <v>0.80562500000000004</v>
      </c>
      <c r="E2763" s="43">
        <v>22969.111580641915</v>
      </c>
      <c r="F2763" s="43">
        <v>6.9570350926729816</v>
      </c>
    </row>
    <row r="2764" spans="1:6">
      <c r="A2764" s="149" t="s">
        <v>2962</v>
      </c>
      <c r="B2764" s="146" t="s">
        <v>2820</v>
      </c>
      <c r="C2764" s="44">
        <v>12890</v>
      </c>
      <c r="D2764" s="153">
        <f t="shared" si="43"/>
        <v>0.80562500000000004</v>
      </c>
      <c r="E2764" s="43">
        <v>22969.111580641915</v>
      </c>
      <c r="F2764" s="43">
        <v>6.9570350926729816</v>
      </c>
    </row>
    <row r="2765" spans="1:6">
      <c r="A2765" s="149" t="s">
        <v>2962</v>
      </c>
      <c r="B2765" s="146" t="s">
        <v>2821</v>
      </c>
      <c r="C2765" s="44">
        <v>12890</v>
      </c>
      <c r="D2765" s="153">
        <f t="shared" si="43"/>
        <v>0.80562500000000004</v>
      </c>
      <c r="E2765" s="43">
        <v>22969.111580641915</v>
      </c>
      <c r="F2765" s="43">
        <v>6.9570350926729816</v>
      </c>
    </row>
    <row r="2766" spans="1:6">
      <c r="A2766" s="149" t="s">
        <v>2962</v>
      </c>
      <c r="B2766" s="146" t="s">
        <v>2822</v>
      </c>
      <c r="C2766" s="44">
        <v>12890</v>
      </c>
      <c r="D2766" s="153">
        <f t="shared" si="43"/>
        <v>0.80562500000000004</v>
      </c>
      <c r="E2766" s="43">
        <v>22969.111580641915</v>
      </c>
      <c r="F2766" s="43">
        <v>6.9570350926729816</v>
      </c>
    </row>
    <row r="2767" spans="1:6">
      <c r="A2767" s="149" t="s">
        <v>2962</v>
      </c>
      <c r="B2767" s="146" t="s">
        <v>2823</v>
      </c>
      <c r="C2767" s="44">
        <v>12890</v>
      </c>
      <c r="D2767" s="153">
        <f t="shared" si="43"/>
        <v>0.80562500000000004</v>
      </c>
      <c r="E2767" s="43">
        <v>22969.111580641915</v>
      </c>
      <c r="F2767" s="43">
        <v>6.9570350926729816</v>
      </c>
    </row>
    <row r="2768" spans="1:6">
      <c r="A2768" s="149" t="s">
        <v>2962</v>
      </c>
      <c r="B2768" s="146" t="s">
        <v>2824</v>
      </c>
      <c r="C2768" s="44">
        <v>12890</v>
      </c>
      <c r="D2768" s="153">
        <f t="shared" si="43"/>
        <v>0.80562500000000004</v>
      </c>
      <c r="E2768" s="43">
        <v>22969.111580641915</v>
      </c>
      <c r="F2768" s="43">
        <v>6.9570350926729816</v>
      </c>
    </row>
    <row r="2769" spans="1:6">
      <c r="A2769" s="149" t="s">
        <v>2962</v>
      </c>
      <c r="B2769" s="146" t="s">
        <v>2825</v>
      </c>
      <c r="C2769" s="44">
        <v>12889</v>
      </c>
      <c r="D2769" s="153">
        <f t="shared" si="43"/>
        <v>0.80556250000000007</v>
      </c>
      <c r="E2769" s="43">
        <v>22967.453091201769</v>
      </c>
      <c r="F2769" s="43">
        <v>6.9585132332816784</v>
      </c>
    </row>
    <row r="2770" spans="1:6">
      <c r="A2770" s="149" t="s">
        <v>2962</v>
      </c>
      <c r="B2770" s="146" t="s">
        <v>2826</v>
      </c>
      <c r="C2770" s="44">
        <v>12890</v>
      </c>
      <c r="D2770" s="153">
        <f t="shared" si="43"/>
        <v>0.80562500000000004</v>
      </c>
      <c r="E2770" s="43">
        <v>22969.111580641915</v>
      </c>
      <c r="F2770" s="43">
        <v>6.9570350926729816</v>
      </c>
    </row>
    <row r="2771" spans="1:6">
      <c r="A2771" s="149" t="s">
        <v>2962</v>
      </c>
      <c r="B2771" s="146" t="s">
        <v>2827</v>
      </c>
      <c r="C2771" s="44">
        <v>12889</v>
      </c>
      <c r="D2771" s="153">
        <f t="shared" si="43"/>
        <v>0.80556250000000007</v>
      </c>
      <c r="E2771" s="43">
        <v>22967.453091201769</v>
      </c>
      <c r="F2771" s="43">
        <v>6.9585132332816784</v>
      </c>
    </row>
    <row r="2772" spans="1:6">
      <c r="A2772" s="149" t="s">
        <v>2962</v>
      </c>
      <c r="B2772" s="146" t="s">
        <v>2828</v>
      </c>
      <c r="C2772" s="44">
        <v>12889</v>
      </c>
      <c r="D2772" s="153">
        <f t="shared" si="43"/>
        <v>0.80556250000000007</v>
      </c>
      <c r="E2772" s="43">
        <v>22967.453091201769</v>
      </c>
      <c r="F2772" s="43">
        <v>6.9585132332816784</v>
      </c>
    </row>
    <row r="2773" spans="1:6">
      <c r="A2773" s="149" t="s">
        <v>2962</v>
      </c>
      <c r="B2773" s="146" t="s">
        <v>2829</v>
      </c>
      <c r="C2773" s="44">
        <v>12890</v>
      </c>
      <c r="D2773" s="153">
        <f t="shared" si="43"/>
        <v>0.80562500000000004</v>
      </c>
      <c r="E2773" s="43">
        <v>22969.111580641915</v>
      </c>
      <c r="F2773" s="43">
        <v>6.9570350926729816</v>
      </c>
    </row>
    <row r="2774" spans="1:6">
      <c r="A2774" s="149" t="s">
        <v>2962</v>
      </c>
      <c r="B2774" s="146" t="s">
        <v>2830</v>
      </c>
      <c r="C2774" s="44">
        <v>12889</v>
      </c>
      <c r="D2774" s="153">
        <f t="shared" si="43"/>
        <v>0.80556250000000007</v>
      </c>
      <c r="E2774" s="43">
        <v>22967.453091201769</v>
      </c>
      <c r="F2774" s="43">
        <v>6.9585132332816784</v>
      </c>
    </row>
    <row r="2775" spans="1:6">
      <c r="A2775" s="149" t="s">
        <v>2962</v>
      </c>
      <c r="B2775" s="146" t="s">
        <v>2831</v>
      </c>
      <c r="C2775" s="44">
        <v>12889</v>
      </c>
      <c r="D2775" s="153">
        <f t="shared" si="43"/>
        <v>0.80556250000000007</v>
      </c>
      <c r="E2775" s="43">
        <v>22967.453091201769</v>
      </c>
      <c r="F2775" s="43">
        <v>6.9585132332816784</v>
      </c>
    </row>
    <row r="2776" spans="1:6">
      <c r="A2776" s="149" t="s">
        <v>2962</v>
      </c>
      <c r="B2776" s="146" t="s">
        <v>2832</v>
      </c>
      <c r="C2776" s="44">
        <v>12889</v>
      </c>
      <c r="D2776" s="153">
        <f t="shared" si="43"/>
        <v>0.80556250000000007</v>
      </c>
      <c r="E2776" s="43">
        <v>22967.453091201769</v>
      </c>
      <c r="F2776" s="43">
        <v>6.9585132332816784</v>
      </c>
    </row>
    <row r="2777" spans="1:6">
      <c r="A2777" s="149" t="s">
        <v>2962</v>
      </c>
      <c r="B2777" s="146" t="s">
        <v>2833</v>
      </c>
      <c r="C2777" s="44">
        <v>12889</v>
      </c>
      <c r="D2777" s="153">
        <f t="shared" si="43"/>
        <v>0.80556250000000007</v>
      </c>
      <c r="E2777" s="43">
        <v>22967.453091201769</v>
      </c>
      <c r="F2777" s="43">
        <v>6.9585132332816784</v>
      </c>
    </row>
    <row r="2778" spans="1:6">
      <c r="A2778" s="149" t="s">
        <v>2962</v>
      </c>
      <c r="B2778" s="146" t="s">
        <v>2834</v>
      </c>
      <c r="C2778" s="44">
        <v>12889</v>
      </c>
      <c r="D2778" s="153">
        <f t="shared" si="43"/>
        <v>0.80556250000000007</v>
      </c>
      <c r="E2778" s="43">
        <v>22967.453091201769</v>
      </c>
      <c r="F2778" s="43">
        <v>6.9585132332816784</v>
      </c>
    </row>
    <row r="2779" spans="1:6">
      <c r="A2779" s="149" t="s">
        <v>2962</v>
      </c>
      <c r="B2779" s="146" t="s">
        <v>2835</v>
      </c>
      <c r="C2779" s="44">
        <v>12889</v>
      </c>
      <c r="D2779" s="153">
        <f t="shared" si="43"/>
        <v>0.80556250000000007</v>
      </c>
      <c r="E2779" s="43">
        <v>22967.453091201769</v>
      </c>
      <c r="F2779" s="43">
        <v>6.9585132332816784</v>
      </c>
    </row>
    <row r="2780" spans="1:6">
      <c r="A2780" s="149" t="s">
        <v>2962</v>
      </c>
      <c r="B2780" s="146" t="s">
        <v>2836</v>
      </c>
      <c r="C2780" s="44">
        <v>12889</v>
      </c>
      <c r="D2780" s="153">
        <f t="shared" si="43"/>
        <v>0.80556250000000007</v>
      </c>
      <c r="E2780" s="43">
        <v>22967.453091201769</v>
      </c>
      <c r="F2780" s="43">
        <v>6.9585132332816784</v>
      </c>
    </row>
    <row r="2781" spans="1:6">
      <c r="A2781" s="149" t="s">
        <v>2962</v>
      </c>
      <c r="B2781" s="146" t="s">
        <v>2837</v>
      </c>
      <c r="C2781" s="44">
        <v>12889</v>
      </c>
      <c r="D2781" s="153">
        <f t="shared" si="43"/>
        <v>0.80556250000000007</v>
      </c>
      <c r="E2781" s="43">
        <v>22967.453091201769</v>
      </c>
      <c r="F2781" s="43">
        <v>6.9585132332816784</v>
      </c>
    </row>
    <row r="2782" spans="1:6">
      <c r="A2782" s="149" t="s">
        <v>2962</v>
      </c>
      <c r="B2782" s="146" t="s">
        <v>2838</v>
      </c>
      <c r="C2782" s="44">
        <v>12889</v>
      </c>
      <c r="D2782" s="153">
        <f t="shared" si="43"/>
        <v>0.80556250000000007</v>
      </c>
      <c r="E2782" s="43">
        <v>22967.453091201769</v>
      </c>
      <c r="F2782" s="43">
        <v>6.9585132332816784</v>
      </c>
    </row>
    <row r="2783" spans="1:6">
      <c r="A2783" s="149" t="s">
        <v>2962</v>
      </c>
      <c r="B2783" s="146" t="s">
        <v>2839</v>
      </c>
      <c r="C2783" s="44">
        <v>12889</v>
      </c>
      <c r="D2783" s="153">
        <f t="shared" si="43"/>
        <v>0.80556250000000007</v>
      </c>
      <c r="E2783" s="43">
        <v>22967.453091201769</v>
      </c>
      <c r="F2783" s="43">
        <v>6.9585132332816784</v>
      </c>
    </row>
    <row r="2784" spans="1:6">
      <c r="A2784" s="149" t="s">
        <v>2962</v>
      </c>
      <c r="B2784" s="146" t="s">
        <v>2840</v>
      </c>
      <c r="C2784" s="44">
        <v>12889</v>
      </c>
      <c r="D2784" s="153">
        <f t="shared" si="43"/>
        <v>0.80556250000000007</v>
      </c>
      <c r="E2784" s="43">
        <v>22967.453091201769</v>
      </c>
      <c r="F2784" s="43">
        <v>6.9585132332816784</v>
      </c>
    </row>
    <row r="2785" spans="1:6">
      <c r="A2785" s="149" t="s">
        <v>2962</v>
      </c>
      <c r="B2785" s="146" t="s">
        <v>2841</v>
      </c>
      <c r="C2785" s="44">
        <v>12889</v>
      </c>
      <c r="D2785" s="153">
        <f t="shared" si="43"/>
        <v>0.80556250000000007</v>
      </c>
      <c r="E2785" s="43">
        <v>22967.453091201769</v>
      </c>
      <c r="F2785" s="43">
        <v>6.9585132332816784</v>
      </c>
    </row>
    <row r="2786" spans="1:6">
      <c r="A2786" s="149" t="s">
        <v>2962</v>
      </c>
      <c r="B2786" s="146" t="s">
        <v>2842</v>
      </c>
      <c r="C2786" s="44">
        <v>12889</v>
      </c>
      <c r="D2786" s="153">
        <f t="shared" si="43"/>
        <v>0.80556250000000007</v>
      </c>
      <c r="E2786" s="43">
        <v>22967.453091201769</v>
      </c>
      <c r="F2786" s="43">
        <v>6.9585132332816784</v>
      </c>
    </row>
    <row r="2787" spans="1:6">
      <c r="A2787" s="149" t="s">
        <v>2962</v>
      </c>
      <c r="B2787" s="146" t="s">
        <v>2843</v>
      </c>
      <c r="C2787" s="44">
        <v>12889</v>
      </c>
      <c r="D2787" s="153">
        <f t="shared" si="43"/>
        <v>0.80556250000000007</v>
      </c>
      <c r="E2787" s="43">
        <v>22967.453091201769</v>
      </c>
      <c r="F2787" s="43">
        <v>6.9585132332816784</v>
      </c>
    </row>
    <row r="2788" spans="1:6">
      <c r="A2788" s="149" t="s">
        <v>2962</v>
      </c>
      <c r="B2788" s="146" t="s">
        <v>2844</v>
      </c>
      <c r="C2788" s="44">
        <v>12889</v>
      </c>
      <c r="D2788" s="153">
        <f t="shared" si="43"/>
        <v>0.80556250000000007</v>
      </c>
      <c r="E2788" s="43">
        <v>22967.453091201769</v>
      </c>
      <c r="F2788" s="43">
        <v>6.9585132332816784</v>
      </c>
    </row>
    <row r="2789" spans="1:6">
      <c r="A2789" s="149" t="s">
        <v>2962</v>
      </c>
      <c r="B2789" s="146" t="s">
        <v>2845</v>
      </c>
      <c r="C2789" s="44">
        <v>12889</v>
      </c>
      <c r="D2789" s="153">
        <f t="shared" si="43"/>
        <v>0.80556250000000007</v>
      </c>
      <c r="E2789" s="43">
        <v>22967.453091201769</v>
      </c>
      <c r="F2789" s="43">
        <v>6.9585132332816784</v>
      </c>
    </row>
    <row r="2790" spans="1:6">
      <c r="A2790" s="149" t="s">
        <v>2962</v>
      </c>
      <c r="B2790" s="146" t="s">
        <v>2846</v>
      </c>
      <c r="C2790" s="44">
        <v>12889</v>
      </c>
      <c r="D2790" s="153">
        <f t="shared" si="43"/>
        <v>0.80556250000000007</v>
      </c>
      <c r="E2790" s="43">
        <v>22967.453091201769</v>
      </c>
      <c r="F2790" s="43">
        <v>6.9585132332816784</v>
      </c>
    </row>
    <row r="2791" spans="1:6">
      <c r="A2791" s="149" t="s">
        <v>2962</v>
      </c>
      <c r="B2791" s="146" t="s">
        <v>2847</v>
      </c>
      <c r="C2791" s="44">
        <v>12889</v>
      </c>
      <c r="D2791" s="153">
        <f t="shared" si="43"/>
        <v>0.80556250000000007</v>
      </c>
      <c r="E2791" s="43">
        <v>22967.453091201769</v>
      </c>
      <c r="F2791" s="43">
        <v>6.9585132332816784</v>
      </c>
    </row>
    <row r="2792" spans="1:6">
      <c r="A2792" s="149" t="s">
        <v>2962</v>
      </c>
      <c r="B2792" s="146" t="s">
        <v>2848</v>
      </c>
      <c r="C2792" s="44">
        <v>12889</v>
      </c>
      <c r="D2792" s="153">
        <f t="shared" si="43"/>
        <v>0.80556250000000007</v>
      </c>
      <c r="E2792" s="43">
        <v>22967.453091201769</v>
      </c>
      <c r="F2792" s="43">
        <v>6.9585132332816784</v>
      </c>
    </row>
    <row r="2793" spans="1:6">
      <c r="A2793" s="149" t="s">
        <v>2962</v>
      </c>
      <c r="B2793" s="146" t="s">
        <v>2849</v>
      </c>
      <c r="C2793" s="44">
        <v>12889</v>
      </c>
      <c r="D2793" s="153">
        <f t="shared" si="43"/>
        <v>0.80556250000000007</v>
      </c>
      <c r="E2793" s="43">
        <v>22967.453091201769</v>
      </c>
      <c r="F2793" s="43">
        <v>6.9585132332816784</v>
      </c>
    </row>
    <row r="2794" spans="1:6">
      <c r="A2794" s="149" t="s">
        <v>2962</v>
      </c>
      <c r="B2794" s="146" t="s">
        <v>2850</v>
      </c>
      <c r="C2794" s="44">
        <v>12889</v>
      </c>
      <c r="D2794" s="153">
        <f t="shared" si="43"/>
        <v>0.80556250000000007</v>
      </c>
      <c r="E2794" s="43">
        <v>22967.453091201769</v>
      </c>
      <c r="F2794" s="43">
        <v>6.9585132332816784</v>
      </c>
    </row>
    <row r="2795" spans="1:6">
      <c r="A2795" s="149" t="s">
        <v>2962</v>
      </c>
      <c r="B2795" s="146" t="s">
        <v>2851</v>
      </c>
      <c r="C2795" s="44">
        <v>12889</v>
      </c>
      <c r="D2795" s="153">
        <f t="shared" si="43"/>
        <v>0.80556250000000007</v>
      </c>
      <c r="E2795" s="43">
        <v>22967.453091201769</v>
      </c>
      <c r="F2795" s="43">
        <v>6.9585132332816784</v>
      </c>
    </row>
    <row r="2796" spans="1:6">
      <c r="A2796" s="149" t="s">
        <v>2962</v>
      </c>
      <c r="B2796" s="146" t="s">
        <v>2852</v>
      </c>
      <c r="C2796" s="44">
        <v>12889</v>
      </c>
      <c r="D2796" s="153">
        <f t="shared" si="43"/>
        <v>0.80556250000000007</v>
      </c>
      <c r="E2796" s="43">
        <v>22967.453091201769</v>
      </c>
      <c r="F2796" s="43">
        <v>6.9585132332816784</v>
      </c>
    </row>
    <row r="2797" spans="1:6">
      <c r="A2797" s="149" t="s">
        <v>2962</v>
      </c>
      <c r="B2797" s="146" t="s">
        <v>2853</v>
      </c>
      <c r="C2797" s="44">
        <v>12889</v>
      </c>
      <c r="D2797" s="153">
        <f t="shared" si="43"/>
        <v>0.80556250000000007</v>
      </c>
      <c r="E2797" s="43">
        <v>22967.453091201769</v>
      </c>
      <c r="F2797" s="43">
        <v>6.9585132332816784</v>
      </c>
    </row>
    <row r="2798" spans="1:6">
      <c r="A2798" s="149" t="s">
        <v>2962</v>
      </c>
      <c r="B2798" s="146" t="s">
        <v>2854</v>
      </c>
      <c r="C2798" s="44">
        <v>12889</v>
      </c>
      <c r="D2798" s="153">
        <f t="shared" si="43"/>
        <v>0.80556250000000007</v>
      </c>
      <c r="E2798" s="43">
        <v>22967.453091201769</v>
      </c>
      <c r="F2798" s="43">
        <v>6.9585132332816784</v>
      </c>
    </row>
    <row r="2799" spans="1:6">
      <c r="A2799" s="149" t="s">
        <v>2962</v>
      </c>
      <c r="B2799" s="146" t="s">
        <v>2855</v>
      </c>
      <c r="C2799" s="44">
        <v>12889</v>
      </c>
      <c r="D2799" s="153">
        <f t="shared" si="43"/>
        <v>0.80556250000000007</v>
      </c>
      <c r="E2799" s="43">
        <v>22967.453091201769</v>
      </c>
      <c r="F2799" s="43">
        <v>6.9585132332816784</v>
      </c>
    </row>
    <row r="2800" spans="1:6">
      <c r="A2800" s="149" t="s">
        <v>2962</v>
      </c>
      <c r="B2800" s="146" t="s">
        <v>2856</v>
      </c>
      <c r="C2800" s="44">
        <v>12889</v>
      </c>
      <c r="D2800" s="153">
        <f t="shared" si="43"/>
        <v>0.80556250000000007</v>
      </c>
      <c r="E2800" s="43">
        <v>22967.453091201769</v>
      </c>
      <c r="F2800" s="43">
        <v>6.9585132332816784</v>
      </c>
    </row>
    <row r="2801" spans="1:6">
      <c r="A2801" s="149" t="s">
        <v>2962</v>
      </c>
      <c r="B2801" s="146" t="s">
        <v>2857</v>
      </c>
      <c r="C2801" s="44">
        <v>12889</v>
      </c>
      <c r="D2801" s="153">
        <f t="shared" si="43"/>
        <v>0.80556250000000007</v>
      </c>
      <c r="E2801" s="43">
        <v>22967.453091201769</v>
      </c>
      <c r="F2801" s="43">
        <v>6.9585132332816784</v>
      </c>
    </row>
    <row r="2802" spans="1:6">
      <c r="A2802" s="149" t="s">
        <v>2962</v>
      </c>
      <c r="B2802" s="146" t="s">
        <v>2858</v>
      </c>
      <c r="C2802" s="44">
        <v>12889</v>
      </c>
      <c r="D2802" s="153">
        <f t="shared" si="43"/>
        <v>0.80556250000000007</v>
      </c>
      <c r="E2802" s="43">
        <v>22967.453091201769</v>
      </c>
      <c r="F2802" s="43">
        <v>6.9585132332816784</v>
      </c>
    </row>
    <row r="2803" spans="1:6">
      <c r="A2803" s="149" t="s">
        <v>2962</v>
      </c>
      <c r="B2803" s="146" t="s">
        <v>2859</v>
      </c>
      <c r="C2803" s="44">
        <v>12889</v>
      </c>
      <c r="D2803" s="153">
        <f t="shared" si="43"/>
        <v>0.80556250000000007</v>
      </c>
      <c r="E2803" s="43">
        <v>22967.453091201769</v>
      </c>
      <c r="F2803" s="43">
        <v>6.9585132332816784</v>
      </c>
    </row>
    <row r="2804" spans="1:6">
      <c r="A2804" s="149" t="s">
        <v>2962</v>
      </c>
      <c r="B2804" s="146" t="s">
        <v>2860</v>
      </c>
      <c r="C2804" s="44">
        <v>12889</v>
      </c>
      <c r="D2804" s="153">
        <f t="shared" si="43"/>
        <v>0.80556250000000007</v>
      </c>
      <c r="E2804" s="43">
        <v>22967.453091201769</v>
      </c>
      <c r="F2804" s="43">
        <v>6.9585132332816784</v>
      </c>
    </row>
    <row r="2805" spans="1:6">
      <c r="A2805" s="149" t="s">
        <v>2962</v>
      </c>
      <c r="B2805" s="146" t="s">
        <v>2861</v>
      </c>
      <c r="C2805" s="44">
        <v>12889</v>
      </c>
      <c r="D2805" s="153">
        <f t="shared" si="43"/>
        <v>0.80556250000000007</v>
      </c>
      <c r="E2805" s="43">
        <v>22967.453091201769</v>
      </c>
      <c r="F2805" s="43">
        <v>6.9585132332816784</v>
      </c>
    </row>
    <row r="2806" spans="1:6">
      <c r="A2806" s="149" t="s">
        <v>2962</v>
      </c>
      <c r="B2806" s="146" t="s">
        <v>2862</v>
      </c>
      <c r="C2806" s="44">
        <v>12889</v>
      </c>
      <c r="D2806" s="153">
        <f t="shared" si="43"/>
        <v>0.80556250000000007</v>
      </c>
      <c r="E2806" s="43">
        <v>22967.453091201769</v>
      </c>
      <c r="F2806" s="43">
        <v>6.9585132332816784</v>
      </c>
    </row>
    <row r="2807" spans="1:6">
      <c r="A2807" s="149" t="s">
        <v>2962</v>
      </c>
      <c r="B2807" s="146" t="s">
        <v>2863</v>
      </c>
      <c r="C2807" s="44">
        <v>12889</v>
      </c>
      <c r="D2807" s="153">
        <f t="shared" si="43"/>
        <v>0.80556250000000007</v>
      </c>
      <c r="E2807" s="43">
        <v>22967.453091201769</v>
      </c>
      <c r="F2807" s="43">
        <v>6.9585132332816784</v>
      </c>
    </row>
    <row r="2808" spans="1:6">
      <c r="A2808" s="149" t="s">
        <v>2962</v>
      </c>
      <c r="B2808" s="146" t="s">
        <v>2864</v>
      </c>
      <c r="C2808" s="44">
        <v>12889</v>
      </c>
      <c r="D2808" s="153">
        <f t="shared" si="43"/>
        <v>0.80556250000000007</v>
      </c>
      <c r="E2808" s="43">
        <v>22967.453091201769</v>
      </c>
      <c r="F2808" s="43">
        <v>6.9585132332816784</v>
      </c>
    </row>
    <row r="2809" spans="1:6">
      <c r="A2809" s="149" t="s">
        <v>2962</v>
      </c>
      <c r="B2809" s="146" t="s">
        <v>2865</v>
      </c>
      <c r="C2809" s="44">
        <v>12889</v>
      </c>
      <c r="D2809" s="153">
        <f t="shared" si="43"/>
        <v>0.80556250000000007</v>
      </c>
      <c r="E2809" s="43">
        <v>22967.453091201769</v>
      </c>
      <c r="F2809" s="43">
        <v>6.9585132332816784</v>
      </c>
    </row>
    <row r="2810" spans="1:6">
      <c r="A2810" s="149" t="s">
        <v>2962</v>
      </c>
      <c r="B2810" s="146" t="s">
        <v>2866</v>
      </c>
      <c r="C2810" s="44">
        <v>12889</v>
      </c>
      <c r="D2810" s="153">
        <f t="shared" si="43"/>
        <v>0.80556250000000007</v>
      </c>
      <c r="E2810" s="43">
        <v>22967.453091201769</v>
      </c>
      <c r="F2810" s="43">
        <v>6.9585132332816784</v>
      </c>
    </row>
    <row r="2811" spans="1:6">
      <c r="A2811" s="149" t="s">
        <v>2962</v>
      </c>
      <c r="B2811" s="146" t="s">
        <v>2867</v>
      </c>
      <c r="C2811" s="44">
        <v>12889</v>
      </c>
      <c r="D2811" s="153">
        <f t="shared" si="43"/>
        <v>0.80556250000000007</v>
      </c>
      <c r="E2811" s="43">
        <v>22967.453091201769</v>
      </c>
      <c r="F2811" s="43">
        <v>6.9585132332816784</v>
      </c>
    </row>
    <row r="2812" spans="1:6">
      <c r="A2812" s="149" t="s">
        <v>2962</v>
      </c>
      <c r="B2812" s="146" t="s">
        <v>2868</v>
      </c>
      <c r="C2812" s="44">
        <v>12889</v>
      </c>
      <c r="D2812" s="153">
        <f t="shared" si="43"/>
        <v>0.80556250000000007</v>
      </c>
      <c r="E2812" s="43">
        <v>22967.453091201769</v>
      </c>
      <c r="F2812" s="43">
        <v>6.9585132332816784</v>
      </c>
    </row>
    <row r="2813" spans="1:6">
      <c r="A2813" s="149" t="s">
        <v>2962</v>
      </c>
      <c r="B2813" s="146" t="s">
        <v>2869</v>
      </c>
      <c r="C2813" s="44">
        <v>12888</v>
      </c>
      <c r="D2813" s="153">
        <f t="shared" si="43"/>
        <v>0.80549999999999999</v>
      </c>
      <c r="E2813" s="43">
        <v>22965.794768611671</v>
      </c>
      <c r="F2813" s="43">
        <v>6.9599913453868112</v>
      </c>
    </row>
    <row r="2814" spans="1:6">
      <c r="A2814" s="149" t="s">
        <v>2962</v>
      </c>
      <c r="B2814" s="146" t="s">
        <v>2870</v>
      </c>
      <c r="C2814" s="44">
        <v>12888</v>
      </c>
      <c r="D2814" s="153">
        <f t="shared" si="43"/>
        <v>0.80549999999999999</v>
      </c>
      <c r="E2814" s="43">
        <v>22965.794768611671</v>
      </c>
      <c r="F2814" s="43">
        <v>6.9599913453868112</v>
      </c>
    </row>
    <row r="2815" spans="1:6">
      <c r="A2815" s="149" t="s">
        <v>2962</v>
      </c>
      <c r="B2815" s="146" t="s">
        <v>2871</v>
      </c>
      <c r="C2815" s="44">
        <v>12888</v>
      </c>
      <c r="D2815" s="153">
        <f t="shared" si="43"/>
        <v>0.80549999999999999</v>
      </c>
      <c r="E2815" s="43">
        <v>22965.794768611671</v>
      </c>
      <c r="F2815" s="43">
        <v>6.9599913453868112</v>
      </c>
    </row>
    <row r="2816" spans="1:6">
      <c r="A2816" s="149" t="s">
        <v>2962</v>
      </c>
      <c r="B2816" s="146" t="s">
        <v>2872</v>
      </c>
      <c r="C2816" s="44">
        <v>12888</v>
      </c>
      <c r="D2816" s="153">
        <f t="shared" si="43"/>
        <v>0.80549999999999999</v>
      </c>
      <c r="E2816" s="43">
        <v>22965.794768611671</v>
      </c>
      <c r="F2816" s="43">
        <v>6.9599913453868112</v>
      </c>
    </row>
    <row r="2817" spans="1:6">
      <c r="A2817" s="149" t="s">
        <v>2962</v>
      </c>
      <c r="B2817" s="146" t="s">
        <v>2873</v>
      </c>
      <c r="C2817" s="44">
        <v>12888</v>
      </c>
      <c r="D2817" s="153">
        <f t="shared" si="43"/>
        <v>0.80549999999999999</v>
      </c>
      <c r="E2817" s="43">
        <v>22965.794768611671</v>
      </c>
      <c r="F2817" s="43">
        <v>6.9599913453868112</v>
      </c>
    </row>
    <row r="2818" spans="1:6">
      <c r="A2818" s="149" t="s">
        <v>2962</v>
      </c>
      <c r="B2818" s="146" t="s">
        <v>2874</v>
      </c>
      <c r="C2818" s="44">
        <v>12888</v>
      </c>
      <c r="D2818" s="153">
        <f t="shared" si="43"/>
        <v>0.80549999999999999</v>
      </c>
      <c r="E2818" s="43">
        <v>22965.794768611671</v>
      </c>
      <c r="F2818" s="43">
        <v>6.9599913453868112</v>
      </c>
    </row>
    <row r="2819" spans="1:6">
      <c r="A2819" s="149" t="s">
        <v>2962</v>
      </c>
      <c r="B2819" s="146" t="s">
        <v>2875</v>
      </c>
      <c r="C2819" s="44">
        <v>12888</v>
      </c>
      <c r="D2819" s="153">
        <f t="shared" si="43"/>
        <v>0.80549999999999999</v>
      </c>
      <c r="E2819" s="43">
        <v>22965.794768611671</v>
      </c>
      <c r="F2819" s="43">
        <v>6.9599913453868112</v>
      </c>
    </row>
    <row r="2820" spans="1:6">
      <c r="A2820" s="149" t="s">
        <v>2962</v>
      </c>
      <c r="B2820" s="146" t="s">
        <v>2876</v>
      </c>
      <c r="C2820" s="44">
        <v>12888</v>
      </c>
      <c r="D2820" s="153">
        <f t="shared" si="43"/>
        <v>0.80549999999999999</v>
      </c>
      <c r="E2820" s="43">
        <v>22965.794768611671</v>
      </c>
      <c r="F2820" s="43">
        <v>6.9599913453868112</v>
      </c>
    </row>
    <row r="2821" spans="1:6">
      <c r="A2821" s="149" t="s">
        <v>2962</v>
      </c>
      <c r="B2821" s="146" t="s">
        <v>2877</v>
      </c>
      <c r="C2821" s="44">
        <v>12888</v>
      </c>
      <c r="D2821" s="153">
        <f t="shared" si="43"/>
        <v>0.80549999999999999</v>
      </c>
      <c r="E2821" s="43">
        <v>22965.794768611671</v>
      </c>
      <c r="F2821" s="43">
        <v>6.9599913453868112</v>
      </c>
    </row>
    <row r="2822" spans="1:6">
      <c r="A2822" s="149" t="s">
        <v>2962</v>
      </c>
      <c r="B2822" s="146" t="s">
        <v>2878</v>
      </c>
      <c r="C2822" s="44">
        <v>12888</v>
      </c>
      <c r="D2822" s="153">
        <f t="shared" si="43"/>
        <v>0.80549999999999999</v>
      </c>
      <c r="E2822" s="43">
        <v>22965.794768611671</v>
      </c>
      <c r="F2822" s="43">
        <v>6.9599913453868112</v>
      </c>
    </row>
    <row r="2823" spans="1:6">
      <c r="A2823" s="149" t="s">
        <v>2962</v>
      </c>
      <c r="B2823" s="146" t="s">
        <v>2879</v>
      </c>
      <c r="C2823" s="44">
        <v>12888</v>
      </c>
      <c r="D2823" s="153">
        <f t="shared" ref="D2823:D2886" si="44">C2823/32768*4.096/2</f>
        <v>0.80549999999999999</v>
      </c>
      <c r="E2823" s="43">
        <v>22965.794768611671</v>
      </c>
      <c r="F2823" s="43">
        <v>6.9599913453868112</v>
      </c>
    </row>
    <row r="2824" spans="1:6">
      <c r="A2824" s="149" t="s">
        <v>2962</v>
      </c>
      <c r="B2824" s="146" t="s">
        <v>2880</v>
      </c>
      <c r="C2824" s="44">
        <v>12888</v>
      </c>
      <c r="D2824" s="153">
        <f t="shared" si="44"/>
        <v>0.80549999999999999</v>
      </c>
      <c r="E2824" s="43">
        <v>22965.794768611671</v>
      </c>
      <c r="F2824" s="43">
        <v>6.9599913453868112</v>
      </c>
    </row>
    <row r="2825" spans="1:6">
      <c r="A2825" s="149" t="s">
        <v>2962</v>
      </c>
      <c r="B2825" s="146" t="s">
        <v>2881</v>
      </c>
      <c r="C2825" s="44">
        <v>12888</v>
      </c>
      <c r="D2825" s="153">
        <f t="shared" si="44"/>
        <v>0.80549999999999999</v>
      </c>
      <c r="E2825" s="43">
        <v>22965.794768611671</v>
      </c>
      <c r="F2825" s="43">
        <v>6.9599913453868112</v>
      </c>
    </row>
    <row r="2826" spans="1:6">
      <c r="A2826" s="149" t="s">
        <v>2962</v>
      </c>
      <c r="B2826" s="146" t="s">
        <v>2882</v>
      </c>
      <c r="C2826" s="44">
        <v>12888</v>
      </c>
      <c r="D2826" s="153">
        <f t="shared" si="44"/>
        <v>0.80549999999999999</v>
      </c>
      <c r="E2826" s="43">
        <v>22965.794768611671</v>
      </c>
      <c r="F2826" s="43">
        <v>6.9599913453868112</v>
      </c>
    </row>
    <row r="2827" spans="1:6">
      <c r="A2827" s="149" t="s">
        <v>2962</v>
      </c>
      <c r="B2827" s="146" t="s">
        <v>2883</v>
      </c>
      <c r="C2827" s="44">
        <v>12888</v>
      </c>
      <c r="D2827" s="153">
        <f t="shared" si="44"/>
        <v>0.80549999999999999</v>
      </c>
      <c r="E2827" s="43">
        <v>22965.794768611671</v>
      </c>
      <c r="F2827" s="43">
        <v>6.9599913453868112</v>
      </c>
    </row>
    <row r="2828" spans="1:6">
      <c r="A2828" s="149" t="s">
        <v>2962</v>
      </c>
      <c r="B2828" s="146" t="s">
        <v>2884</v>
      </c>
      <c r="C2828" s="44">
        <v>12888</v>
      </c>
      <c r="D2828" s="153">
        <f t="shared" si="44"/>
        <v>0.80549999999999999</v>
      </c>
      <c r="E2828" s="43">
        <v>22965.794768611671</v>
      </c>
      <c r="F2828" s="43">
        <v>6.9599913453868112</v>
      </c>
    </row>
    <row r="2829" spans="1:6">
      <c r="A2829" s="149" t="s">
        <v>2962</v>
      </c>
      <c r="B2829" s="146" t="s">
        <v>2885</v>
      </c>
      <c r="C2829" s="44">
        <v>12888</v>
      </c>
      <c r="D2829" s="153">
        <f t="shared" si="44"/>
        <v>0.80549999999999999</v>
      </c>
      <c r="E2829" s="43">
        <v>22965.794768611671</v>
      </c>
      <c r="F2829" s="43">
        <v>6.9599913453868112</v>
      </c>
    </row>
    <row r="2830" spans="1:6">
      <c r="A2830" s="149" t="s">
        <v>2962</v>
      </c>
      <c r="B2830" s="146" t="s">
        <v>2886</v>
      </c>
      <c r="C2830" s="44">
        <v>12888</v>
      </c>
      <c r="D2830" s="153">
        <f t="shared" si="44"/>
        <v>0.80549999999999999</v>
      </c>
      <c r="E2830" s="43">
        <v>22965.794768611671</v>
      </c>
      <c r="F2830" s="43">
        <v>6.9599913453868112</v>
      </c>
    </row>
    <row r="2831" spans="1:6">
      <c r="A2831" s="149" t="s">
        <v>2962</v>
      </c>
      <c r="B2831" s="146" t="s">
        <v>2887</v>
      </c>
      <c r="C2831" s="44">
        <v>12888</v>
      </c>
      <c r="D2831" s="153">
        <f t="shared" si="44"/>
        <v>0.80549999999999999</v>
      </c>
      <c r="E2831" s="43">
        <v>22965.794768611671</v>
      </c>
      <c r="F2831" s="43">
        <v>6.9599913453868112</v>
      </c>
    </row>
    <row r="2832" spans="1:6">
      <c r="A2832" s="149" t="s">
        <v>2962</v>
      </c>
      <c r="B2832" s="146" t="s">
        <v>2888</v>
      </c>
      <c r="C2832" s="44">
        <v>12888</v>
      </c>
      <c r="D2832" s="153">
        <f t="shared" si="44"/>
        <v>0.80549999999999999</v>
      </c>
      <c r="E2832" s="43">
        <v>22965.794768611671</v>
      </c>
      <c r="F2832" s="43">
        <v>6.9599913453868112</v>
      </c>
    </row>
    <row r="2833" spans="1:6">
      <c r="A2833" s="149" t="s">
        <v>2962</v>
      </c>
      <c r="B2833" s="146" t="s">
        <v>2889</v>
      </c>
      <c r="C2833" s="44">
        <v>12888</v>
      </c>
      <c r="D2833" s="153">
        <f t="shared" si="44"/>
        <v>0.80549999999999999</v>
      </c>
      <c r="E2833" s="43">
        <v>22965.794768611671</v>
      </c>
      <c r="F2833" s="43">
        <v>6.9599913453868112</v>
      </c>
    </row>
    <row r="2834" spans="1:6">
      <c r="A2834" s="149" t="s">
        <v>2962</v>
      </c>
      <c r="B2834" s="146" t="s">
        <v>2890</v>
      </c>
      <c r="C2834" s="44">
        <v>12888</v>
      </c>
      <c r="D2834" s="153">
        <f t="shared" si="44"/>
        <v>0.80549999999999999</v>
      </c>
      <c r="E2834" s="43">
        <v>22965.794768611671</v>
      </c>
      <c r="F2834" s="43">
        <v>6.9599913453868112</v>
      </c>
    </row>
    <row r="2835" spans="1:6">
      <c r="A2835" s="149" t="s">
        <v>2962</v>
      </c>
      <c r="B2835" s="146" t="s">
        <v>2891</v>
      </c>
      <c r="C2835" s="44">
        <v>12888</v>
      </c>
      <c r="D2835" s="153">
        <f t="shared" si="44"/>
        <v>0.80549999999999999</v>
      </c>
      <c r="E2835" s="43">
        <v>22965.794768611671</v>
      </c>
      <c r="F2835" s="43">
        <v>6.9599913453868112</v>
      </c>
    </row>
    <row r="2836" spans="1:6">
      <c r="A2836" s="149" t="s">
        <v>2962</v>
      </c>
      <c r="B2836" s="146" t="s">
        <v>2892</v>
      </c>
      <c r="C2836" s="44">
        <v>12888</v>
      </c>
      <c r="D2836" s="153">
        <f t="shared" si="44"/>
        <v>0.80549999999999999</v>
      </c>
      <c r="E2836" s="43">
        <v>22965.794768611671</v>
      </c>
      <c r="F2836" s="43">
        <v>6.9599913453868112</v>
      </c>
    </row>
    <row r="2837" spans="1:6">
      <c r="A2837" s="149" t="s">
        <v>2962</v>
      </c>
      <c r="B2837" s="146" t="s">
        <v>2893</v>
      </c>
      <c r="C2837" s="44">
        <v>12888</v>
      </c>
      <c r="D2837" s="153">
        <f t="shared" si="44"/>
        <v>0.80549999999999999</v>
      </c>
      <c r="E2837" s="43">
        <v>22965.794768611671</v>
      </c>
      <c r="F2837" s="43">
        <v>6.9599913453868112</v>
      </c>
    </row>
    <row r="2838" spans="1:6">
      <c r="A2838" s="149" t="s">
        <v>2962</v>
      </c>
      <c r="B2838" s="146" t="s">
        <v>2894</v>
      </c>
      <c r="C2838" s="44">
        <v>12888</v>
      </c>
      <c r="D2838" s="153">
        <f t="shared" si="44"/>
        <v>0.80549999999999999</v>
      </c>
      <c r="E2838" s="43">
        <v>22965.794768611671</v>
      </c>
      <c r="F2838" s="43">
        <v>6.9599913453868112</v>
      </c>
    </row>
    <row r="2839" spans="1:6">
      <c r="A2839" s="149" t="s">
        <v>2962</v>
      </c>
      <c r="B2839" s="146" t="s">
        <v>2895</v>
      </c>
      <c r="C2839" s="44">
        <v>12888</v>
      </c>
      <c r="D2839" s="153">
        <f t="shared" si="44"/>
        <v>0.80549999999999999</v>
      </c>
      <c r="E2839" s="43">
        <v>22965.794768611671</v>
      </c>
      <c r="F2839" s="43">
        <v>6.9599913453868112</v>
      </c>
    </row>
    <row r="2840" spans="1:6">
      <c r="A2840" s="149" t="s">
        <v>2962</v>
      </c>
      <c r="B2840" s="146" t="s">
        <v>2896</v>
      </c>
      <c r="C2840" s="44">
        <v>12888</v>
      </c>
      <c r="D2840" s="153">
        <f t="shared" si="44"/>
        <v>0.80549999999999999</v>
      </c>
      <c r="E2840" s="43">
        <v>22965.794768611671</v>
      </c>
      <c r="F2840" s="43">
        <v>6.9599913453868112</v>
      </c>
    </row>
    <row r="2841" spans="1:6">
      <c r="A2841" s="149" t="s">
        <v>2962</v>
      </c>
      <c r="B2841" s="146" t="s">
        <v>2897</v>
      </c>
      <c r="C2841" s="44">
        <v>12888</v>
      </c>
      <c r="D2841" s="153">
        <f t="shared" si="44"/>
        <v>0.80549999999999999</v>
      </c>
      <c r="E2841" s="43">
        <v>22965.794768611671</v>
      </c>
      <c r="F2841" s="43">
        <v>6.9599913453868112</v>
      </c>
    </row>
    <row r="2842" spans="1:6">
      <c r="A2842" s="149" t="s">
        <v>2962</v>
      </c>
      <c r="B2842" s="146" t="s">
        <v>2898</v>
      </c>
      <c r="C2842" s="44">
        <v>12888</v>
      </c>
      <c r="D2842" s="153">
        <f t="shared" si="44"/>
        <v>0.80549999999999999</v>
      </c>
      <c r="E2842" s="43">
        <v>22965.794768611671</v>
      </c>
      <c r="F2842" s="43">
        <v>6.9599913453868112</v>
      </c>
    </row>
    <row r="2843" spans="1:6">
      <c r="A2843" s="149" t="s">
        <v>2962</v>
      </c>
      <c r="B2843" s="146" t="s">
        <v>2899</v>
      </c>
      <c r="C2843" s="44">
        <v>12888</v>
      </c>
      <c r="D2843" s="153">
        <f t="shared" si="44"/>
        <v>0.80549999999999999</v>
      </c>
      <c r="E2843" s="43">
        <v>22965.794768611671</v>
      </c>
      <c r="F2843" s="43">
        <v>6.9599913453868112</v>
      </c>
    </row>
    <row r="2844" spans="1:6">
      <c r="A2844" s="149" t="s">
        <v>2962</v>
      </c>
      <c r="B2844" s="146" t="s">
        <v>2900</v>
      </c>
      <c r="C2844" s="44">
        <v>12888</v>
      </c>
      <c r="D2844" s="153">
        <f t="shared" si="44"/>
        <v>0.80549999999999999</v>
      </c>
      <c r="E2844" s="43">
        <v>22965.794768611671</v>
      </c>
      <c r="F2844" s="43">
        <v>6.9599913453868112</v>
      </c>
    </row>
    <row r="2845" spans="1:6">
      <c r="A2845" s="149" t="s">
        <v>2962</v>
      </c>
      <c r="B2845" s="146" t="s">
        <v>2901</v>
      </c>
      <c r="C2845" s="44">
        <v>12888</v>
      </c>
      <c r="D2845" s="153">
        <f t="shared" si="44"/>
        <v>0.80549999999999999</v>
      </c>
      <c r="E2845" s="43">
        <v>22965.794768611671</v>
      </c>
      <c r="F2845" s="43">
        <v>6.9599913453868112</v>
      </c>
    </row>
    <row r="2846" spans="1:6">
      <c r="A2846" s="149" t="s">
        <v>2962</v>
      </c>
      <c r="B2846" s="146" t="s">
        <v>2902</v>
      </c>
      <c r="C2846" s="44">
        <v>12888</v>
      </c>
      <c r="D2846" s="153">
        <f t="shared" si="44"/>
        <v>0.80549999999999999</v>
      </c>
      <c r="E2846" s="43">
        <v>22965.794768611671</v>
      </c>
      <c r="F2846" s="43">
        <v>6.9599913453868112</v>
      </c>
    </row>
    <row r="2847" spans="1:6">
      <c r="A2847" s="149" t="s">
        <v>2962</v>
      </c>
      <c r="B2847" s="146" t="s">
        <v>2903</v>
      </c>
      <c r="C2847" s="44">
        <v>12888</v>
      </c>
      <c r="D2847" s="153">
        <f t="shared" si="44"/>
        <v>0.80549999999999999</v>
      </c>
      <c r="E2847" s="43">
        <v>22965.794768611671</v>
      </c>
      <c r="F2847" s="43">
        <v>6.9599913453868112</v>
      </c>
    </row>
    <row r="2848" spans="1:6">
      <c r="A2848" s="149" t="s">
        <v>2962</v>
      </c>
      <c r="B2848" s="146" t="s">
        <v>2904</v>
      </c>
      <c r="C2848" s="44">
        <v>12888</v>
      </c>
      <c r="D2848" s="153">
        <f t="shared" si="44"/>
        <v>0.80549999999999999</v>
      </c>
      <c r="E2848" s="43">
        <v>22965.794768611671</v>
      </c>
      <c r="F2848" s="43">
        <v>6.9599913453868112</v>
      </c>
    </row>
    <row r="2849" spans="1:6">
      <c r="A2849" s="149" t="s">
        <v>2962</v>
      </c>
      <c r="B2849" s="146" t="s">
        <v>2905</v>
      </c>
      <c r="C2849" s="44">
        <v>12888</v>
      </c>
      <c r="D2849" s="153">
        <f t="shared" si="44"/>
        <v>0.80549999999999999</v>
      </c>
      <c r="E2849" s="43">
        <v>22965.794768611671</v>
      </c>
      <c r="F2849" s="43">
        <v>6.9599913453868112</v>
      </c>
    </row>
    <row r="2850" spans="1:6">
      <c r="A2850" s="149" t="s">
        <v>2962</v>
      </c>
      <c r="B2850" s="146" t="s">
        <v>2906</v>
      </c>
      <c r="C2850" s="44">
        <v>12877</v>
      </c>
      <c r="D2850" s="153">
        <f t="shared" si="44"/>
        <v>0.80481250000000004</v>
      </c>
      <c r="E2850" s="43">
        <v>22947.564225026395</v>
      </c>
      <c r="F2850" s="43">
        <v>6.9762486986485897</v>
      </c>
    </row>
    <row r="2851" spans="1:6">
      <c r="A2851" s="149" t="s">
        <v>2962</v>
      </c>
      <c r="B2851" s="146" t="s">
        <v>2907</v>
      </c>
      <c r="C2851" s="44">
        <v>12823</v>
      </c>
      <c r="D2851" s="153">
        <f t="shared" si="44"/>
        <v>0.80143750000000002</v>
      </c>
      <c r="E2851" s="43">
        <v>22858.360491351217</v>
      </c>
      <c r="F2851" s="43">
        <v>7.056007716248871</v>
      </c>
    </row>
    <row r="2852" spans="1:6">
      <c r="A2852" s="149" t="s">
        <v>2962</v>
      </c>
      <c r="B2852" s="146" t="s">
        <v>2908</v>
      </c>
      <c r="C2852" s="44">
        <v>12729</v>
      </c>
      <c r="D2852" s="153">
        <f t="shared" si="44"/>
        <v>0.79556250000000006</v>
      </c>
      <c r="E2852" s="43">
        <v>22704.226757822245</v>
      </c>
      <c r="F2852" s="43">
        <v>7.1946517904570442</v>
      </c>
    </row>
    <row r="2853" spans="1:6">
      <c r="A2853" s="149" t="s">
        <v>2962</v>
      </c>
      <c r="B2853" s="146" t="s">
        <v>2909</v>
      </c>
      <c r="C2853" s="44">
        <v>12609</v>
      </c>
      <c r="D2853" s="153">
        <f t="shared" si="44"/>
        <v>0.7880625</v>
      </c>
      <c r="E2853" s="43">
        <v>22509.54908477603</v>
      </c>
      <c r="F2853" s="43">
        <v>7.3712882880736288</v>
      </c>
    </row>
    <row r="2854" spans="1:6">
      <c r="A2854" s="149" t="s">
        <v>2962</v>
      </c>
      <c r="B2854" s="146" t="s">
        <v>2910</v>
      </c>
      <c r="C2854" s="44">
        <v>12468</v>
      </c>
      <c r="D2854" s="153">
        <f t="shared" si="44"/>
        <v>0.77925</v>
      </c>
      <c r="E2854" s="43">
        <v>22283.743842364533</v>
      </c>
      <c r="F2854" s="43">
        <v>7.5783360315598998</v>
      </c>
    </row>
    <row r="2855" spans="1:6">
      <c r="A2855" s="149" t="s">
        <v>2962</v>
      </c>
      <c r="B2855" s="146" t="s">
        <v>2911</v>
      </c>
      <c r="C2855" s="44">
        <v>12313</v>
      </c>
      <c r="D2855" s="153">
        <f t="shared" si="44"/>
        <v>0.76956250000000004</v>
      </c>
      <c r="E2855" s="43">
        <v>22039.110241994622</v>
      </c>
      <c r="F2855" s="43">
        <v>7.8053324897468315</v>
      </c>
    </row>
    <row r="2856" spans="1:6">
      <c r="A2856" s="149" t="s">
        <v>2962</v>
      </c>
      <c r="B2856" s="146" t="s">
        <v>2912</v>
      </c>
      <c r="C2856" s="44">
        <v>12137</v>
      </c>
      <c r="D2856" s="153">
        <f t="shared" si="44"/>
        <v>0.75856250000000003</v>
      </c>
      <c r="E2856" s="43">
        <v>21765.789346129612</v>
      </c>
      <c r="F2856" s="43">
        <v>8.0623300343256687</v>
      </c>
    </row>
    <row r="2857" spans="1:6">
      <c r="A2857" s="149" t="s">
        <v>2962</v>
      </c>
      <c r="B2857" s="146" t="s">
        <v>2913</v>
      </c>
      <c r="C2857" s="44">
        <v>11948</v>
      </c>
      <c r="D2857" s="153">
        <f t="shared" si="44"/>
        <v>0.74675000000000002</v>
      </c>
      <c r="E2857" s="43">
        <v>21477.425552353507</v>
      </c>
      <c r="F2857" s="43">
        <v>8.3374443292059937</v>
      </c>
    </row>
    <row r="2858" spans="1:6">
      <c r="A2858" s="149" t="s">
        <v>2962</v>
      </c>
      <c r="B2858" s="146" t="s">
        <v>2914</v>
      </c>
      <c r="C2858" s="44">
        <v>11755</v>
      </c>
      <c r="D2858" s="153">
        <f t="shared" si="44"/>
        <v>0.73468750000000005</v>
      </c>
      <c r="E2858" s="43">
        <v>21188.311997334982</v>
      </c>
      <c r="F2858" s="43">
        <v>8.617484834283573</v>
      </c>
    </row>
    <row r="2859" spans="1:6">
      <c r="A2859" s="149" t="s">
        <v>2962</v>
      </c>
      <c r="B2859" s="146" t="s">
        <v>2915</v>
      </c>
      <c r="C2859" s="44">
        <v>11563</v>
      </c>
      <c r="D2859" s="153">
        <f t="shared" si="44"/>
        <v>0.72268750000000004</v>
      </c>
      <c r="E2859" s="43">
        <v>20905.918415468052</v>
      </c>
      <c r="F2859" s="43">
        <v>8.8952052293390693</v>
      </c>
    </row>
    <row r="2860" spans="1:6">
      <c r="A2860" s="149" t="s">
        <v>2962</v>
      </c>
      <c r="B2860" s="146" t="s">
        <v>2916</v>
      </c>
      <c r="C2860" s="44">
        <v>11361</v>
      </c>
      <c r="D2860" s="153">
        <f t="shared" si="44"/>
        <v>0.71006250000000004</v>
      </c>
      <c r="E2860" s="43">
        <v>20614.285046947261</v>
      </c>
      <c r="F2860" s="43">
        <v>9.1864863517546382</v>
      </c>
    </row>
    <row r="2861" spans="1:6">
      <c r="A2861" s="149" t="s">
        <v>2962</v>
      </c>
      <c r="B2861" s="146" t="s">
        <v>2917</v>
      </c>
      <c r="C2861" s="44">
        <v>11166</v>
      </c>
      <c r="D2861" s="153">
        <f t="shared" si="44"/>
        <v>0.69787500000000002</v>
      </c>
      <c r="E2861" s="43">
        <v>20337.93167299324</v>
      </c>
      <c r="F2861" s="43">
        <v>9.4668248885718072</v>
      </c>
    </row>
    <row r="2862" spans="1:6">
      <c r="A2862" s="149" t="s">
        <v>2962</v>
      </c>
      <c r="B2862" s="146" t="s">
        <v>2918</v>
      </c>
      <c r="C2862" s="44">
        <v>10965</v>
      </c>
      <c r="D2862" s="153">
        <f t="shared" si="44"/>
        <v>0.68531249999999999</v>
      </c>
      <c r="E2862" s="43">
        <v>20058.248864835114</v>
      </c>
      <c r="F2862" s="43">
        <v>9.7549478655413395</v>
      </c>
    </row>
    <row r="2863" spans="1:6">
      <c r="A2863" s="149" t="s">
        <v>2962</v>
      </c>
      <c r="B2863" s="146" t="s">
        <v>2919</v>
      </c>
      <c r="C2863" s="44">
        <v>10759</v>
      </c>
      <c r="D2863" s="153">
        <f t="shared" si="44"/>
        <v>0.67243750000000002</v>
      </c>
      <c r="E2863" s="43">
        <v>19776.909446135673</v>
      </c>
      <c r="F2863" s="43">
        <v>10.049384320330034</v>
      </c>
    </row>
    <row r="2864" spans="1:6">
      <c r="A2864" s="149" t="s">
        <v>2962</v>
      </c>
      <c r="B2864" s="146" t="s">
        <v>2920</v>
      </c>
      <c r="C2864" s="44">
        <v>10562</v>
      </c>
      <c r="D2864" s="153">
        <f t="shared" si="44"/>
        <v>0.66012499999999996</v>
      </c>
      <c r="E2864" s="43">
        <v>19512.744303341438</v>
      </c>
      <c r="F2864" s="43">
        <v>10.330178894089613</v>
      </c>
    </row>
    <row r="2865" spans="1:6">
      <c r="A2865" s="149" t="s">
        <v>2962</v>
      </c>
      <c r="B2865" s="146" t="s">
        <v>2921</v>
      </c>
      <c r="C2865" s="44">
        <v>10370</v>
      </c>
      <c r="D2865" s="153">
        <f t="shared" si="44"/>
        <v>0.64812500000000006</v>
      </c>
      <c r="E2865" s="43">
        <v>19259.755335297796</v>
      </c>
      <c r="F2865" s="43">
        <v>10.603142201509854</v>
      </c>
    </row>
    <row r="2866" spans="1:6">
      <c r="A2866" s="149" t="s">
        <v>2962</v>
      </c>
      <c r="B2866" s="146" t="s">
        <v>2922</v>
      </c>
      <c r="C2866" s="44">
        <v>10177</v>
      </c>
      <c r="D2866" s="153">
        <f t="shared" si="44"/>
        <v>0.63606249999999998</v>
      </c>
      <c r="E2866" s="43">
        <v>19009.782656810235</v>
      </c>
      <c r="F2866" s="43">
        <v>10.876852649897728</v>
      </c>
    </row>
    <row r="2867" spans="1:6">
      <c r="A2867" s="149" t="s">
        <v>2962</v>
      </c>
      <c r="B2867" s="146" t="s">
        <v>2923</v>
      </c>
      <c r="C2867" s="44">
        <v>9976</v>
      </c>
      <c r="D2867" s="153">
        <f t="shared" si="44"/>
        <v>0.62350000000000005</v>
      </c>
      <c r="E2867" s="43">
        <v>18753.948753948753</v>
      </c>
      <c r="F2867" s="43">
        <v>11.161217475016542</v>
      </c>
    </row>
    <row r="2868" spans="1:6">
      <c r="A2868" s="149" t="s">
        <v>2962</v>
      </c>
      <c r="B2868" s="146" t="s">
        <v>2924</v>
      </c>
      <c r="C2868" s="44">
        <v>9781</v>
      </c>
      <c r="D2868" s="153">
        <f t="shared" si="44"/>
        <v>0.61131250000000004</v>
      </c>
      <c r="E2868" s="43">
        <v>18510.027406795147</v>
      </c>
      <c r="F2868" s="43">
        <v>11.436446679173343</v>
      </c>
    </row>
    <row r="2869" spans="1:6">
      <c r="A2869" s="149" t="s">
        <v>2962</v>
      </c>
      <c r="B2869" s="146" t="s">
        <v>2925</v>
      </c>
      <c r="C2869" s="44">
        <v>9577</v>
      </c>
      <c r="D2869" s="153">
        <f t="shared" si="44"/>
        <v>0.5985625</v>
      </c>
      <c r="E2869" s="43">
        <v>18259.23849769307</v>
      </c>
      <c r="F2869" s="43">
        <v>11.723724950613075</v>
      </c>
    </row>
    <row r="2870" spans="1:6">
      <c r="A2870" s="149" t="s">
        <v>2962</v>
      </c>
      <c r="B2870" s="146" t="s">
        <v>2926</v>
      </c>
      <c r="C2870" s="44">
        <v>9366</v>
      </c>
      <c r="D2870" s="153">
        <f t="shared" si="44"/>
        <v>0.58537499999999998</v>
      </c>
      <c r="E2870" s="43">
        <v>18004.444064609863</v>
      </c>
      <c r="F2870" s="43">
        <v>12.02018788385999</v>
      </c>
    </row>
    <row r="2871" spans="1:6">
      <c r="A2871" s="149" t="s">
        <v>2962</v>
      </c>
      <c r="B2871" s="146" t="s">
        <v>2927</v>
      </c>
      <c r="C2871" s="44">
        <v>9165</v>
      </c>
      <c r="D2871" s="153">
        <f t="shared" si="44"/>
        <v>0.57281250000000006</v>
      </c>
      <c r="E2871" s="43">
        <v>17765.961953988899</v>
      </c>
      <c r="F2871" s="43">
        <v>12.301992660936037</v>
      </c>
    </row>
    <row r="2872" spans="1:6">
      <c r="A2872" s="149" t="s">
        <v>2962</v>
      </c>
      <c r="B2872" s="146" t="s">
        <v>2928</v>
      </c>
      <c r="C2872" s="44">
        <v>8954</v>
      </c>
      <c r="D2872" s="153">
        <f t="shared" si="44"/>
        <v>0.55962500000000004</v>
      </c>
      <c r="E2872" s="43">
        <v>17519.946250104982</v>
      </c>
      <c r="F2872" s="43">
        <v>12.597209470740154</v>
      </c>
    </row>
    <row r="2873" spans="1:6">
      <c r="A2873" s="149" t="s">
        <v>2962</v>
      </c>
      <c r="B2873" s="146" t="s">
        <v>2929</v>
      </c>
      <c r="C2873" s="44">
        <v>8738</v>
      </c>
      <c r="D2873" s="153">
        <f t="shared" si="44"/>
        <v>0.54612499999999997</v>
      </c>
      <c r="E2873" s="43">
        <v>17272.57594673325</v>
      </c>
      <c r="F2873" s="43">
        <v>12.898808262403008</v>
      </c>
    </row>
    <row r="2874" spans="1:6">
      <c r="A2874" s="149" t="s">
        <v>2962</v>
      </c>
      <c r="B2874" s="146" t="s">
        <v>2930</v>
      </c>
      <c r="C2874" s="44">
        <v>8533</v>
      </c>
      <c r="D2874" s="153">
        <f t="shared" si="44"/>
        <v>0.53331249999999997</v>
      </c>
      <c r="E2874" s="43">
        <v>17041.881576232721</v>
      </c>
      <c r="F2874" s="43">
        <v>13.184502846745715</v>
      </c>
    </row>
    <row r="2875" spans="1:6">
      <c r="A2875" s="149" t="s">
        <v>2962</v>
      </c>
      <c r="B2875" s="146" t="s">
        <v>2931</v>
      </c>
      <c r="C2875" s="44">
        <v>8325</v>
      </c>
      <c r="D2875" s="153">
        <f t="shared" si="44"/>
        <v>0.52031249999999996</v>
      </c>
      <c r="E2875" s="43">
        <v>16811.766149817944</v>
      </c>
      <c r="F2875" s="43">
        <v>13.473864394573866</v>
      </c>
    </row>
    <row r="2876" spans="1:6">
      <c r="A2876" s="149" t="s">
        <v>2962</v>
      </c>
      <c r="B2876" s="146" t="s">
        <v>2932</v>
      </c>
      <c r="C2876" s="44">
        <v>8089</v>
      </c>
      <c r="D2876" s="153">
        <f t="shared" si="44"/>
        <v>0.50556250000000003</v>
      </c>
      <c r="E2876" s="43">
        <v>16555.370963167064</v>
      </c>
      <c r="F2876" s="43">
        <v>13.801586990078988</v>
      </c>
    </row>
    <row r="2877" spans="1:6">
      <c r="A2877" s="149" t="s">
        <v>2962</v>
      </c>
      <c r="B2877" s="146" t="s">
        <v>2933</v>
      </c>
      <c r="C2877" s="44">
        <v>7835</v>
      </c>
      <c r="D2877" s="153">
        <f t="shared" si="44"/>
        <v>0.4896875</v>
      </c>
      <c r="E2877" s="43">
        <v>16284.843380259093</v>
      </c>
      <c r="F2877" s="43">
        <v>14.15364744628107</v>
      </c>
    </row>
    <row r="2878" spans="1:6">
      <c r="A2878" s="149" t="s">
        <v>2962</v>
      </c>
      <c r="B2878" s="146" t="s">
        <v>2934</v>
      </c>
      <c r="C2878" s="44">
        <v>7591</v>
      </c>
      <c r="D2878" s="153">
        <f t="shared" si="44"/>
        <v>0.47443750000000001</v>
      </c>
      <c r="E2878" s="43">
        <v>16030.106843547683</v>
      </c>
      <c r="F2878" s="43">
        <v>14.491250051010127</v>
      </c>
    </row>
    <row r="2879" spans="1:6">
      <c r="A2879" s="149" t="s">
        <v>2962</v>
      </c>
      <c r="B2879" s="146" t="s">
        <v>2935</v>
      </c>
      <c r="C2879" s="44">
        <v>7365</v>
      </c>
      <c r="D2879" s="153">
        <f t="shared" si="44"/>
        <v>0.46031250000000001</v>
      </c>
      <c r="E2879" s="43">
        <v>15798.527732944927</v>
      </c>
      <c r="F2879" s="43">
        <v>14.803463886379177</v>
      </c>
    </row>
    <row r="2880" spans="1:6">
      <c r="A2880" s="149" t="s">
        <v>2962</v>
      </c>
      <c r="B2880" s="146" t="s">
        <v>2936</v>
      </c>
      <c r="C2880" s="44">
        <v>7136</v>
      </c>
      <c r="D2880" s="153">
        <f t="shared" si="44"/>
        <v>0.44600000000000001</v>
      </c>
      <c r="E2880" s="43">
        <v>15568.039950062423</v>
      </c>
      <c r="F2880" s="43">
        <v>15.119383596744058</v>
      </c>
    </row>
    <row r="2881" spans="1:6">
      <c r="A2881" s="149" t="s">
        <v>2962</v>
      </c>
      <c r="B2881" s="146" t="s">
        <v>2937</v>
      </c>
      <c r="C2881" s="44">
        <v>6912</v>
      </c>
      <c r="D2881" s="153">
        <f t="shared" si="44"/>
        <v>0.432</v>
      </c>
      <c r="E2881" s="43">
        <v>15346.534653465347</v>
      </c>
      <c r="F2881" s="43">
        <v>15.428011939305009</v>
      </c>
    </row>
    <row r="2882" spans="1:6">
      <c r="A2882" s="149" t="s">
        <v>2962</v>
      </c>
      <c r="B2882" s="146" t="s">
        <v>2938</v>
      </c>
      <c r="C2882" s="44">
        <v>6692</v>
      </c>
      <c r="D2882" s="153">
        <f t="shared" si="44"/>
        <v>0.41825000000000001</v>
      </c>
      <c r="E2882" s="43">
        <v>15132.689062739684</v>
      </c>
      <c r="F2882" s="43">
        <v>15.730781856019007</v>
      </c>
    </row>
    <row r="2883" spans="1:6">
      <c r="A2883" s="149" t="s">
        <v>2962</v>
      </c>
      <c r="B2883" s="146" t="s">
        <v>2939</v>
      </c>
      <c r="C2883" s="44">
        <v>6484</v>
      </c>
      <c r="D2883" s="153">
        <f t="shared" si="44"/>
        <v>0.40525</v>
      </c>
      <c r="E2883" s="43">
        <v>14933.800030436767</v>
      </c>
      <c r="F2883" s="43">
        <v>16.016748265837009</v>
      </c>
    </row>
    <row r="2884" spans="1:6">
      <c r="A2884" s="149" t="s">
        <v>2962</v>
      </c>
      <c r="B2884" s="146" t="s">
        <v>2940</v>
      </c>
      <c r="C2884" s="44">
        <v>6279</v>
      </c>
      <c r="D2884" s="153">
        <f t="shared" si="44"/>
        <v>0.39243749999999999</v>
      </c>
      <c r="E2884" s="43">
        <v>14740.835818641701</v>
      </c>
      <c r="F2884" s="43">
        <v>16.29834080744223</v>
      </c>
    </row>
    <row r="2885" spans="1:6">
      <c r="A2885" s="149" t="s">
        <v>2962</v>
      </c>
      <c r="B2885" s="146" t="s">
        <v>2941</v>
      </c>
      <c r="C2885" s="44">
        <v>6093</v>
      </c>
      <c r="D2885" s="153">
        <f t="shared" si="44"/>
        <v>0.3808125</v>
      </c>
      <c r="E2885" s="43">
        <v>14568.322399250234</v>
      </c>
      <c r="F2885" s="43">
        <v>16.553640720149929</v>
      </c>
    </row>
    <row r="2886" spans="1:6">
      <c r="A2886" s="149" t="s">
        <v>2962</v>
      </c>
      <c r="B2886" s="146" t="s">
        <v>2942</v>
      </c>
      <c r="C2886" s="44">
        <v>5894</v>
      </c>
      <c r="D2886" s="153">
        <f t="shared" si="44"/>
        <v>0.36837500000000001</v>
      </c>
      <c r="E2886" s="43">
        <v>14386.395772865968</v>
      </c>
      <c r="F2886" s="43">
        <v>16.826600986995459</v>
      </c>
    </row>
    <row r="2887" spans="1:6">
      <c r="A2887" s="149" t="s">
        <v>2962</v>
      </c>
      <c r="B2887" s="146" t="s">
        <v>2943</v>
      </c>
      <c r="C2887" s="44">
        <v>5732</v>
      </c>
      <c r="D2887" s="153">
        <f t="shared" ref="D2887:D2900" si="45">C2887/32768*4.096/2</f>
        <v>0.35825000000000001</v>
      </c>
      <c r="E2887" s="43">
        <v>14240.272229619766</v>
      </c>
      <c r="F2887" s="43">
        <v>17.048684762023981</v>
      </c>
    </row>
    <row r="2888" spans="1:6">
      <c r="A2888" s="149" t="s">
        <v>2962</v>
      </c>
      <c r="B2888" s="146" t="s">
        <v>2944</v>
      </c>
      <c r="C2888" s="44">
        <v>5531</v>
      </c>
      <c r="D2888" s="153">
        <f t="shared" si="45"/>
        <v>0.34568749999999998</v>
      </c>
      <c r="E2888" s="43">
        <v>14061.387083746375</v>
      </c>
      <c r="F2888" s="43">
        <v>17.324095870127792</v>
      </c>
    </row>
    <row r="2889" spans="1:6">
      <c r="A2889" s="149" t="s">
        <v>2962</v>
      </c>
      <c r="B2889" s="146" t="s">
        <v>2945</v>
      </c>
      <c r="C2889" s="44">
        <v>5352</v>
      </c>
      <c r="D2889" s="153">
        <f t="shared" si="45"/>
        <v>0.33450000000000002</v>
      </c>
      <c r="E2889" s="43">
        <v>13904.289466005252</v>
      </c>
      <c r="F2889" s="43">
        <v>17.569251281076561</v>
      </c>
    </row>
    <row r="2890" spans="1:6">
      <c r="A2890" s="149" t="s">
        <v>2962</v>
      </c>
      <c r="B2890" s="146" t="s">
        <v>2946</v>
      </c>
      <c r="C2890" s="44">
        <v>5188</v>
      </c>
      <c r="D2890" s="153">
        <f t="shared" si="45"/>
        <v>0.32424999999999998</v>
      </c>
      <c r="E2890" s="43">
        <v>13762.146482958666</v>
      </c>
      <c r="F2890" s="43">
        <v>17.793784836967461</v>
      </c>
    </row>
    <row r="2891" spans="1:6">
      <c r="A2891" s="149" t="s">
        <v>2962</v>
      </c>
      <c r="B2891" s="146" t="s">
        <v>2947</v>
      </c>
      <c r="C2891" s="44">
        <v>5033</v>
      </c>
      <c r="D2891" s="153">
        <f t="shared" si="45"/>
        <v>0.31456250000000002</v>
      </c>
      <c r="E2891" s="43">
        <v>13629.349197764557</v>
      </c>
      <c r="F2891" s="43">
        <v>18.005938867617886</v>
      </c>
    </row>
    <row r="2892" spans="1:6">
      <c r="A2892" s="149" t="s">
        <v>2962</v>
      </c>
      <c r="B2892" s="146" t="s">
        <v>2948</v>
      </c>
      <c r="C2892" s="44">
        <v>4881</v>
      </c>
      <c r="D2892" s="153">
        <f t="shared" si="45"/>
        <v>0.30506250000000001</v>
      </c>
      <c r="E2892" s="43">
        <v>13500.55581453724</v>
      </c>
      <c r="F2892" s="43">
        <v>18.213942224978723</v>
      </c>
    </row>
    <row r="2893" spans="1:6">
      <c r="A2893" s="149" t="s">
        <v>2962</v>
      </c>
      <c r="B2893" s="146" t="s">
        <v>2949</v>
      </c>
      <c r="C2893" s="44">
        <v>4737</v>
      </c>
      <c r="D2893" s="153">
        <f t="shared" si="45"/>
        <v>0.29606250000000001</v>
      </c>
      <c r="E2893" s="43">
        <v>13379.829474510363</v>
      </c>
      <c r="F2893" s="43">
        <v>18.410966010115999</v>
      </c>
    </row>
    <row r="2894" spans="1:6">
      <c r="A2894" s="149" t="s">
        <v>2962</v>
      </c>
      <c r="B2894" s="146" t="s">
        <v>2950</v>
      </c>
      <c r="C2894" s="44">
        <v>4603</v>
      </c>
      <c r="D2894" s="153">
        <f t="shared" si="45"/>
        <v>0.28768749999999998</v>
      </c>
      <c r="E2894" s="43">
        <v>13268.595774897924</v>
      </c>
      <c r="F2894" s="43">
        <v>18.594286730574083</v>
      </c>
    </row>
    <row r="2895" spans="1:6">
      <c r="A2895" s="149" t="s">
        <v>2962</v>
      </c>
      <c r="B2895" s="146" t="s">
        <v>2951</v>
      </c>
      <c r="C2895" s="44">
        <v>4468</v>
      </c>
      <c r="D2895" s="153">
        <f t="shared" si="45"/>
        <v>0.27925</v>
      </c>
      <c r="E2895" s="43">
        <v>13157.597173144877</v>
      </c>
      <c r="F2895" s="43">
        <v>18.77896184219253</v>
      </c>
    </row>
    <row r="2896" spans="1:6">
      <c r="A2896" s="149" t="s">
        <v>2962</v>
      </c>
      <c r="B2896" s="146" t="s">
        <v>2952</v>
      </c>
      <c r="C2896" s="44">
        <v>4337</v>
      </c>
      <c r="D2896" s="153">
        <f t="shared" si="45"/>
        <v>0.27106249999999998</v>
      </c>
      <c r="E2896" s="43">
        <v>13050.895149660582</v>
      </c>
      <c r="F2896" s="43">
        <v>18.958158149657663</v>
      </c>
    </row>
    <row r="2897" spans="1:6">
      <c r="A2897" s="149" t="s">
        <v>2962</v>
      </c>
      <c r="B2897" s="146" t="s">
        <v>2953</v>
      </c>
      <c r="C2897" s="44">
        <v>4201</v>
      </c>
      <c r="D2897" s="153">
        <f t="shared" si="45"/>
        <v>0.26256250000000003</v>
      </c>
      <c r="E2897" s="43">
        <v>12941.15587916127</v>
      </c>
      <c r="F2897" s="43">
        <v>19.1441932174302</v>
      </c>
    </row>
    <row r="2898" spans="1:6">
      <c r="A2898" s="149" t="s">
        <v>2962</v>
      </c>
      <c r="B2898" s="146" t="s">
        <v>2954</v>
      </c>
      <c r="C2898" s="44">
        <v>4094</v>
      </c>
      <c r="D2898" s="153">
        <f t="shared" si="45"/>
        <v>0.25587500000000002</v>
      </c>
      <c r="E2898" s="43">
        <v>12855.548580595661</v>
      </c>
      <c r="F2898" s="43">
        <v>19.290562761042793</v>
      </c>
    </row>
    <row r="2899" spans="1:6">
      <c r="A2899" s="149" t="s">
        <v>2962</v>
      </c>
      <c r="B2899" s="146" t="s">
        <v>2955</v>
      </c>
      <c r="C2899" s="44">
        <v>3947</v>
      </c>
      <c r="D2899" s="153">
        <f t="shared" si="45"/>
        <v>0.2466875</v>
      </c>
      <c r="E2899" s="43">
        <v>12738.975052912807</v>
      </c>
      <c r="F2899" s="43">
        <v>19.491661636540812</v>
      </c>
    </row>
    <row r="2900" spans="1:6">
      <c r="A2900" s="149" t="s">
        <v>2962</v>
      </c>
      <c r="B2900" s="146" t="s">
        <v>2956</v>
      </c>
      <c r="C2900" s="44">
        <v>3782</v>
      </c>
      <c r="D2900" s="153">
        <f t="shared" si="45"/>
        <v>0.236375</v>
      </c>
      <c r="E2900" s="43">
        <v>12609.535637894156</v>
      </c>
      <c r="F2900" s="43">
        <v>19.717410529678432</v>
      </c>
    </row>
    <row r="28143" spans="8:8">
      <c r="H28143" s="110"/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X227"/>
  <sheetViews>
    <sheetView zoomScale="85" zoomScaleNormal="85" workbookViewId="0">
      <selection activeCell="E61" sqref="E61"/>
    </sheetView>
  </sheetViews>
  <sheetFormatPr defaultRowHeight="12.75"/>
  <cols>
    <col min="1" max="1" width="15" style="111" customWidth="1"/>
    <col min="2" max="2" width="20.7109375" style="117" customWidth="1"/>
    <col min="3" max="3" width="20.7109375" style="119" customWidth="1"/>
    <col min="4" max="4" width="16.7109375" style="120" customWidth="1"/>
    <col min="5" max="5" width="16.5703125" style="120" customWidth="1"/>
    <col min="6" max="6" width="18.7109375" style="121" customWidth="1"/>
    <col min="7" max="7" width="17.28515625" style="121" customWidth="1"/>
    <col min="8" max="8" width="11.28515625" style="163" customWidth="1"/>
    <col min="9" max="9" width="18" style="119" customWidth="1"/>
    <col min="10" max="10" width="17.140625" style="122" customWidth="1"/>
    <col min="11" max="11" width="16.5703125" style="121" customWidth="1"/>
    <col min="12" max="12" width="5.5703125" style="111" customWidth="1"/>
    <col min="13" max="13" width="14" style="119" customWidth="1"/>
    <col min="14" max="14" width="14.5703125" style="111" customWidth="1"/>
    <col min="15" max="15" width="14.7109375" style="111" customWidth="1"/>
    <col min="16" max="16" width="14.85546875" style="111" customWidth="1"/>
    <col min="17" max="17" width="14.42578125" style="111" customWidth="1"/>
    <col min="18" max="19" width="14.85546875" style="111" customWidth="1"/>
    <col min="20" max="20" width="13.140625" style="111" customWidth="1"/>
    <col min="21" max="257" width="9.140625" style="111"/>
    <col min="258" max="258" width="13" style="111" customWidth="1"/>
    <col min="259" max="260" width="20.7109375" style="111" customWidth="1"/>
    <col min="261" max="261" width="15.5703125" style="111" customWidth="1"/>
    <col min="262" max="262" width="16.5703125" style="111" customWidth="1"/>
    <col min="263" max="263" width="18.7109375" style="111" customWidth="1"/>
    <col min="264" max="264" width="17.28515625" style="111" customWidth="1"/>
    <col min="265" max="265" width="4.5703125" style="111" customWidth="1"/>
    <col min="266" max="266" width="25.7109375" style="111" customWidth="1"/>
    <col min="267" max="267" width="13.28515625" style="111" customWidth="1"/>
    <col min="268" max="268" width="16.5703125" style="111" customWidth="1"/>
    <col min="269" max="270" width="9.140625" style="111"/>
    <col min="271" max="271" width="11.5703125" style="111" customWidth="1"/>
    <col min="272" max="276" width="22.5703125" style="111" customWidth="1"/>
    <col min="277" max="513" width="9.140625" style="111"/>
    <col min="514" max="514" width="13" style="111" customWidth="1"/>
    <col min="515" max="516" width="20.7109375" style="111" customWidth="1"/>
    <col min="517" max="517" width="15.5703125" style="111" customWidth="1"/>
    <col min="518" max="518" width="16.5703125" style="111" customWidth="1"/>
    <col min="519" max="519" width="18.7109375" style="111" customWidth="1"/>
    <col min="520" max="520" width="17.28515625" style="111" customWidth="1"/>
    <col min="521" max="521" width="4.5703125" style="111" customWidth="1"/>
    <col min="522" max="522" width="25.7109375" style="111" customWidth="1"/>
    <col min="523" max="523" width="13.28515625" style="111" customWidth="1"/>
    <col min="524" max="524" width="16.5703125" style="111" customWidth="1"/>
    <col min="525" max="526" width="9.140625" style="111"/>
    <col min="527" max="527" width="11.5703125" style="111" customWidth="1"/>
    <col min="528" max="532" width="22.5703125" style="111" customWidth="1"/>
    <col min="533" max="769" width="9.140625" style="111"/>
    <col min="770" max="770" width="13" style="111" customWidth="1"/>
    <col min="771" max="772" width="20.7109375" style="111" customWidth="1"/>
    <col min="773" max="773" width="15.5703125" style="111" customWidth="1"/>
    <col min="774" max="774" width="16.5703125" style="111" customWidth="1"/>
    <col min="775" max="775" width="18.7109375" style="111" customWidth="1"/>
    <col min="776" max="776" width="17.28515625" style="111" customWidth="1"/>
    <col min="777" max="777" width="4.5703125" style="111" customWidth="1"/>
    <col min="778" max="778" width="25.7109375" style="111" customWidth="1"/>
    <col min="779" max="779" width="13.28515625" style="111" customWidth="1"/>
    <col min="780" max="780" width="16.5703125" style="111" customWidth="1"/>
    <col min="781" max="782" width="9.140625" style="111"/>
    <col min="783" max="783" width="11.5703125" style="111" customWidth="1"/>
    <col min="784" max="788" width="22.5703125" style="111" customWidth="1"/>
    <col min="789" max="1025" width="9.140625" style="111"/>
    <col min="1026" max="1026" width="13" style="111" customWidth="1"/>
    <col min="1027" max="1028" width="20.7109375" style="111" customWidth="1"/>
    <col min="1029" max="1029" width="15.5703125" style="111" customWidth="1"/>
    <col min="1030" max="1030" width="16.5703125" style="111" customWidth="1"/>
    <col min="1031" max="1031" width="18.7109375" style="111" customWidth="1"/>
    <col min="1032" max="1032" width="17.28515625" style="111" customWidth="1"/>
    <col min="1033" max="1033" width="4.5703125" style="111" customWidth="1"/>
    <col min="1034" max="1034" width="25.7109375" style="111" customWidth="1"/>
    <col min="1035" max="1035" width="13.28515625" style="111" customWidth="1"/>
    <col min="1036" max="1036" width="16.5703125" style="111" customWidth="1"/>
    <col min="1037" max="1038" width="9.140625" style="111"/>
    <col min="1039" max="1039" width="11.5703125" style="111" customWidth="1"/>
    <col min="1040" max="1044" width="22.5703125" style="111" customWidth="1"/>
    <col min="1045" max="1281" width="9.140625" style="111"/>
    <col min="1282" max="1282" width="13" style="111" customWidth="1"/>
    <col min="1283" max="1284" width="20.7109375" style="111" customWidth="1"/>
    <col min="1285" max="1285" width="15.5703125" style="111" customWidth="1"/>
    <col min="1286" max="1286" width="16.5703125" style="111" customWidth="1"/>
    <col min="1287" max="1287" width="18.7109375" style="111" customWidth="1"/>
    <col min="1288" max="1288" width="17.28515625" style="111" customWidth="1"/>
    <col min="1289" max="1289" width="4.5703125" style="111" customWidth="1"/>
    <col min="1290" max="1290" width="25.7109375" style="111" customWidth="1"/>
    <col min="1291" max="1291" width="13.28515625" style="111" customWidth="1"/>
    <col min="1292" max="1292" width="16.5703125" style="111" customWidth="1"/>
    <col min="1293" max="1294" width="9.140625" style="111"/>
    <col min="1295" max="1295" width="11.5703125" style="111" customWidth="1"/>
    <col min="1296" max="1300" width="22.5703125" style="111" customWidth="1"/>
    <col min="1301" max="1537" width="9.140625" style="111"/>
    <col min="1538" max="1538" width="13" style="111" customWidth="1"/>
    <col min="1539" max="1540" width="20.7109375" style="111" customWidth="1"/>
    <col min="1541" max="1541" width="15.5703125" style="111" customWidth="1"/>
    <col min="1542" max="1542" width="16.5703125" style="111" customWidth="1"/>
    <col min="1543" max="1543" width="18.7109375" style="111" customWidth="1"/>
    <col min="1544" max="1544" width="17.28515625" style="111" customWidth="1"/>
    <col min="1545" max="1545" width="4.5703125" style="111" customWidth="1"/>
    <col min="1546" max="1546" width="25.7109375" style="111" customWidth="1"/>
    <col min="1547" max="1547" width="13.28515625" style="111" customWidth="1"/>
    <col min="1548" max="1548" width="16.5703125" style="111" customWidth="1"/>
    <col min="1549" max="1550" width="9.140625" style="111"/>
    <col min="1551" max="1551" width="11.5703125" style="111" customWidth="1"/>
    <col min="1552" max="1556" width="22.5703125" style="111" customWidth="1"/>
    <col min="1557" max="1793" width="9.140625" style="111"/>
    <col min="1794" max="1794" width="13" style="111" customWidth="1"/>
    <col min="1795" max="1796" width="20.7109375" style="111" customWidth="1"/>
    <col min="1797" max="1797" width="15.5703125" style="111" customWidth="1"/>
    <col min="1798" max="1798" width="16.5703125" style="111" customWidth="1"/>
    <col min="1799" max="1799" width="18.7109375" style="111" customWidth="1"/>
    <col min="1800" max="1800" width="17.28515625" style="111" customWidth="1"/>
    <col min="1801" max="1801" width="4.5703125" style="111" customWidth="1"/>
    <col min="1802" max="1802" width="25.7109375" style="111" customWidth="1"/>
    <col min="1803" max="1803" width="13.28515625" style="111" customWidth="1"/>
    <col min="1804" max="1804" width="16.5703125" style="111" customWidth="1"/>
    <col min="1805" max="1806" width="9.140625" style="111"/>
    <col min="1807" max="1807" width="11.5703125" style="111" customWidth="1"/>
    <col min="1808" max="1812" width="22.5703125" style="111" customWidth="1"/>
    <col min="1813" max="2049" width="9.140625" style="111"/>
    <col min="2050" max="2050" width="13" style="111" customWidth="1"/>
    <col min="2051" max="2052" width="20.7109375" style="111" customWidth="1"/>
    <col min="2053" max="2053" width="15.5703125" style="111" customWidth="1"/>
    <col min="2054" max="2054" width="16.5703125" style="111" customWidth="1"/>
    <col min="2055" max="2055" width="18.7109375" style="111" customWidth="1"/>
    <col min="2056" max="2056" width="17.28515625" style="111" customWidth="1"/>
    <col min="2057" max="2057" width="4.5703125" style="111" customWidth="1"/>
    <col min="2058" max="2058" width="25.7109375" style="111" customWidth="1"/>
    <col min="2059" max="2059" width="13.28515625" style="111" customWidth="1"/>
    <col min="2060" max="2060" width="16.5703125" style="111" customWidth="1"/>
    <col min="2061" max="2062" width="9.140625" style="111"/>
    <col min="2063" max="2063" width="11.5703125" style="111" customWidth="1"/>
    <col min="2064" max="2068" width="22.5703125" style="111" customWidth="1"/>
    <col min="2069" max="2305" width="9.140625" style="111"/>
    <col min="2306" max="2306" width="13" style="111" customWidth="1"/>
    <col min="2307" max="2308" width="20.7109375" style="111" customWidth="1"/>
    <col min="2309" max="2309" width="15.5703125" style="111" customWidth="1"/>
    <col min="2310" max="2310" width="16.5703125" style="111" customWidth="1"/>
    <col min="2311" max="2311" width="18.7109375" style="111" customWidth="1"/>
    <col min="2312" max="2312" width="17.28515625" style="111" customWidth="1"/>
    <col min="2313" max="2313" width="4.5703125" style="111" customWidth="1"/>
    <col min="2314" max="2314" width="25.7109375" style="111" customWidth="1"/>
    <col min="2315" max="2315" width="13.28515625" style="111" customWidth="1"/>
    <col min="2316" max="2316" width="16.5703125" style="111" customWidth="1"/>
    <col min="2317" max="2318" width="9.140625" style="111"/>
    <col min="2319" max="2319" width="11.5703125" style="111" customWidth="1"/>
    <col min="2320" max="2324" width="22.5703125" style="111" customWidth="1"/>
    <col min="2325" max="2561" width="9.140625" style="111"/>
    <col min="2562" max="2562" width="13" style="111" customWidth="1"/>
    <col min="2563" max="2564" width="20.7109375" style="111" customWidth="1"/>
    <col min="2565" max="2565" width="15.5703125" style="111" customWidth="1"/>
    <col min="2566" max="2566" width="16.5703125" style="111" customWidth="1"/>
    <col min="2567" max="2567" width="18.7109375" style="111" customWidth="1"/>
    <col min="2568" max="2568" width="17.28515625" style="111" customWidth="1"/>
    <col min="2569" max="2569" width="4.5703125" style="111" customWidth="1"/>
    <col min="2570" max="2570" width="25.7109375" style="111" customWidth="1"/>
    <col min="2571" max="2571" width="13.28515625" style="111" customWidth="1"/>
    <col min="2572" max="2572" width="16.5703125" style="111" customWidth="1"/>
    <col min="2573" max="2574" width="9.140625" style="111"/>
    <col min="2575" max="2575" width="11.5703125" style="111" customWidth="1"/>
    <col min="2576" max="2580" width="22.5703125" style="111" customWidth="1"/>
    <col min="2581" max="2817" width="9.140625" style="111"/>
    <col min="2818" max="2818" width="13" style="111" customWidth="1"/>
    <col min="2819" max="2820" width="20.7109375" style="111" customWidth="1"/>
    <col min="2821" max="2821" width="15.5703125" style="111" customWidth="1"/>
    <col min="2822" max="2822" width="16.5703125" style="111" customWidth="1"/>
    <col min="2823" max="2823" width="18.7109375" style="111" customWidth="1"/>
    <col min="2824" max="2824" width="17.28515625" style="111" customWidth="1"/>
    <col min="2825" max="2825" width="4.5703125" style="111" customWidth="1"/>
    <col min="2826" max="2826" width="25.7109375" style="111" customWidth="1"/>
    <col min="2827" max="2827" width="13.28515625" style="111" customWidth="1"/>
    <col min="2828" max="2828" width="16.5703125" style="111" customWidth="1"/>
    <col min="2829" max="2830" width="9.140625" style="111"/>
    <col min="2831" max="2831" width="11.5703125" style="111" customWidth="1"/>
    <col min="2832" max="2836" width="22.5703125" style="111" customWidth="1"/>
    <col min="2837" max="3073" width="9.140625" style="111"/>
    <col min="3074" max="3074" width="13" style="111" customWidth="1"/>
    <col min="3075" max="3076" width="20.7109375" style="111" customWidth="1"/>
    <col min="3077" max="3077" width="15.5703125" style="111" customWidth="1"/>
    <col min="3078" max="3078" width="16.5703125" style="111" customWidth="1"/>
    <col min="3079" max="3079" width="18.7109375" style="111" customWidth="1"/>
    <col min="3080" max="3080" width="17.28515625" style="111" customWidth="1"/>
    <col min="3081" max="3081" width="4.5703125" style="111" customWidth="1"/>
    <col min="3082" max="3082" width="25.7109375" style="111" customWidth="1"/>
    <col min="3083" max="3083" width="13.28515625" style="111" customWidth="1"/>
    <col min="3084" max="3084" width="16.5703125" style="111" customWidth="1"/>
    <col min="3085" max="3086" width="9.140625" style="111"/>
    <col min="3087" max="3087" width="11.5703125" style="111" customWidth="1"/>
    <col min="3088" max="3092" width="22.5703125" style="111" customWidth="1"/>
    <col min="3093" max="3329" width="9.140625" style="111"/>
    <col min="3330" max="3330" width="13" style="111" customWidth="1"/>
    <col min="3331" max="3332" width="20.7109375" style="111" customWidth="1"/>
    <col min="3333" max="3333" width="15.5703125" style="111" customWidth="1"/>
    <col min="3334" max="3334" width="16.5703125" style="111" customWidth="1"/>
    <col min="3335" max="3335" width="18.7109375" style="111" customWidth="1"/>
    <col min="3336" max="3336" width="17.28515625" style="111" customWidth="1"/>
    <col min="3337" max="3337" width="4.5703125" style="111" customWidth="1"/>
    <col min="3338" max="3338" width="25.7109375" style="111" customWidth="1"/>
    <col min="3339" max="3339" width="13.28515625" style="111" customWidth="1"/>
    <col min="3340" max="3340" width="16.5703125" style="111" customWidth="1"/>
    <col min="3341" max="3342" width="9.140625" style="111"/>
    <col min="3343" max="3343" width="11.5703125" style="111" customWidth="1"/>
    <col min="3344" max="3348" width="22.5703125" style="111" customWidth="1"/>
    <col min="3349" max="3585" width="9.140625" style="111"/>
    <col min="3586" max="3586" width="13" style="111" customWidth="1"/>
    <col min="3587" max="3588" width="20.7109375" style="111" customWidth="1"/>
    <col min="3589" max="3589" width="15.5703125" style="111" customWidth="1"/>
    <col min="3590" max="3590" width="16.5703125" style="111" customWidth="1"/>
    <col min="3591" max="3591" width="18.7109375" style="111" customWidth="1"/>
    <col min="3592" max="3592" width="17.28515625" style="111" customWidth="1"/>
    <col min="3593" max="3593" width="4.5703125" style="111" customWidth="1"/>
    <col min="3594" max="3594" width="25.7109375" style="111" customWidth="1"/>
    <col min="3595" max="3595" width="13.28515625" style="111" customWidth="1"/>
    <col min="3596" max="3596" width="16.5703125" style="111" customWidth="1"/>
    <col min="3597" max="3598" width="9.140625" style="111"/>
    <col min="3599" max="3599" width="11.5703125" style="111" customWidth="1"/>
    <col min="3600" max="3604" width="22.5703125" style="111" customWidth="1"/>
    <col min="3605" max="3841" width="9.140625" style="111"/>
    <col min="3842" max="3842" width="13" style="111" customWidth="1"/>
    <col min="3843" max="3844" width="20.7109375" style="111" customWidth="1"/>
    <col min="3845" max="3845" width="15.5703125" style="111" customWidth="1"/>
    <col min="3846" max="3846" width="16.5703125" style="111" customWidth="1"/>
    <col min="3847" max="3847" width="18.7109375" style="111" customWidth="1"/>
    <col min="3848" max="3848" width="17.28515625" style="111" customWidth="1"/>
    <col min="3849" max="3849" width="4.5703125" style="111" customWidth="1"/>
    <col min="3850" max="3850" width="25.7109375" style="111" customWidth="1"/>
    <col min="3851" max="3851" width="13.28515625" style="111" customWidth="1"/>
    <col min="3852" max="3852" width="16.5703125" style="111" customWidth="1"/>
    <col min="3853" max="3854" width="9.140625" style="111"/>
    <col min="3855" max="3855" width="11.5703125" style="111" customWidth="1"/>
    <col min="3856" max="3860" width="22.5703125" style="111" customWidth="1"/>
    <col min="3861" max="4097" width="9.140625" style="111"/>
    <col min="4098" max="4098" width="13" style="111" customWidth="1"/>
    <col min="4099" max="4100" width="20.7109375" style="111" customWidth="1"/>
    <col min="4101" max="4101" width="15.5703125" style="111" customWidth="1"/>
    <col min="4102" max="4102" width="16.5703125" style="111" customWidth="1"/>
    <col min="4103" max="4103" width="18.7109375" style="111" customWidth="1"/>
    <col min="4104" max="4104" width="17.28515625" style="111" customWidth="1"/>
    <col min="4105" max="4105" width="4.5703125" style="111" customWidth="1"/>
    <col min="4106" max="4106" width="25.7109375" style="111" customWidth="1"/>
    <col min="4107" max="4107" width="13.28515625" style="111" customWidth="1"/>
    <col min="4108" max="4108" width="16.5703125" style="111" customWidth="1"/>
    <col min="4109" max="4110" width="9.140625" style="111"/>
    <col min="4111" max="4111" width="11.5703125" style="111" customWidth="1"/>
    <col min="4112" max="4116" width="22.5703125" style="111" customWidth="1"/>
    <col min="4117" max="4353" width="9.140625" style="111"/>
    <col min="4354" max="4354" width="13" style="111" customWidth="1"/>
    <col min="4355" max="4356" width="20.7109375" style="111" customWidth="1"/>
    <col min="4357" max="4357" width="15.5703125" style="111" customWidth="1"/>
    <col min="4358" max="4358" width="16.5703125" style="111" customWidth="1"/>
    <col min="4359" max="4359" width="18.7109375" style="111" customWidth="1"/>
    <col min="4360" max="4360" width="17.28515625" style="111" customWidth="1"/>
    <col min="4361" max="4361" width="4.5703125" style="111" customWidth="1"/>
    <col min="4362" max="4362" width="25.7109375" style="111" customWidth="1"/>
    <col min="4363" max="4363" width="13.28515625" style="111" customWidth="1"/>
    <col min="4364" max="4364" width="16.5703125" style="111" customWidth="1"/>
    <col min="4365" max="4366" width="9.140625" style="111"/>
    <col min="4367" max="4367" width="11.5703125" style="111" customWidth="1"/>
    <col min="4368" max="4372" width="22.5703125" style="111" customWidth="1"/>
    <col min="4373" max="4609" width="9.140625" style="111"/>
    <col min="4610" max="4610" width="13" style="111" customWidth="1"/>
    <col min="4611" max="4612" width="20.7109375" style="111" customWidth="1"/>
    <col min="4613" max="4613" width="15.5703125" style="111" customWidth="1"/>
    <col min="4614" max="4614" width="16.5703125" style="111" customWidth="1"/>
    <col min="4615" max="4615" width="18.7109375" style="111" customWidth="1"/>
    <col min="4616" max="4616" width="17.28515625" style="111" customWidth="1"/>
    <col min="4617" max="4617" width="4.5703125" style="111" customWidth="1"/>
    <col min="4618" max="4618" width="25.7109375" style="111" customWidth="1"/>
    <col min="4619" max="4619" width="13.28515625" style="111" customWidth="1"/>
    <col min="4620" max="4620" width="16.5703125" style="111" customWidth="1"/>
    <col min="4621" max="4622" width="9.140625" style="111"/>
    <col min="4623" max="4623" width="11.5703125" style="111" customWidth="1"/>
    <col min="4624" max="4628" width="22.5703125" style="111" customWidth="1"/>
    <col min="4629" max="4865" width="9.140625" style="111"/>
    <col min="4866" max="4866" width="13" style="111" customWidth="1"/>
    <col min="4867" max="4868" width="20.7109375" style="111" customWidth="1"/>
    <col min="4869" max="4869" width="15.5703125" style="111" customWidth="1"/>
    <col min="4870" max="4870" width="16.5703125" style="111" customWidth="1"/>
    <col min="4871" max="4871" width="18.7109375" style="111" customWidth="1"/>
    <col min="4872" max="4872" width="17.28515625" style="111" customWidth="1"/>
    <col min="4873" max="4873" width="4.5703125" style="111" customWidth="1"/>
    <col min="4874" max="4874" width="25.7109375" style="111" customWidth="1"/>
    <col min="4875" max="4875" width="13.28515625" style="111" customWidth="1"/>
    <col min="4876" max="4876" width="16.5703125" style="111" customWidth="1"/>
    <col min="4877" max="4878" width="9.140625" style="111"/>
    <col min="4879" max="4879" width="11.5703125" style="111" customWidth="1"/>
    <col min="4880" max="4884" width="22.5703125" style="111" customWidth="1"/>
    <col min="4885" max="5121" width="9.140625" style="111"/>
    <col min="5122" max="5122" width="13" style="111" customWidth="1"/>
    <col min="5123" max="5124" width="20.7109375" style="111" customWidth="1"/>
    <col min="5125" max="5125" width="15.5703125" style="111" customWidth="1"/>
    <col min="5126" max="5126" width="16.5703125" style="111" customWidth="1"/>
    <col min="5127" max="5127" width="18.7109375" style="111" customWidth="1"/>
    <col min="5128" max="5128" width="17.28515625" style="111" customWidth="1"/>
    <col min="5129" max="5129" width="4.5703125" style="111" customWidth="1"/>
    <col min="5130" max="5130" width="25.7109375" style="111" customWidth="1"/>
    <col min="5131" max="5131" width="13.28515625" style="111" customWidth="1"/>
    <col min="5132" max="5132" width="16.5703125" style="111" customWidth="1"/>
    <col min="5133" max="5134" width="9.140625" style="111"/>
    <col min="5135" max="5135" width="11.5703125" style="111" customWidth="1"/>
    <col min="5136" max="5140" width="22.5703125" style="111" customWidth="1"/>
    <col min="5141" max="5377" width="9.140625" style="111"/>
    <col min="5378" max="5378" width="13" style="111" customWidth="1"/>
    <col min="5379" max="5380" width="20.7109375" style="111" customWidth="1"/>
    <col min="5381" max="5381" width="15.5703125" style="111" customWidth="1"/>
    <col min="5382" max="5382" width="16.5703125" style="111" customWidth="1"/>
    <col min="5383" max="5383" width="18.7109375" style="111" customWidth="1"/>
    <col min="5384" max="5384" width="17.28515625" style="111" customWidth="1"/>
    <col min="5385" max="5385" width="4.5703125" style="111" customWidth="1"/>
    <col min="5386" max="5386" width="25.7109375" style="111" customWidth="1"/>
    <col min="5387" max="5387" width="13.28515625" style="111" customWidth="1"/>
    <col min="5388" max="5388" width="16.5703125" style="111" customWidth="1"/>
    <col min="5389" max="5390" width="9.140625" style="111"/>
    <col min="5391" max="5391" width="11.5703125" style="111" customWidth="1"/>
    <col min="5392" max="5396" width="22.5703125" style="111" customWidth="1"/>
    <col min="5397" max="5633" width="9.140625" style="111"/>
    <col min="5634" max="5634" width="13" style="111" customWidth="1"/>
    <col min="5635" max="5636" width="20.7109375" style="111" customWidth="1"/>
    <col min="5637" max="5637" width="15.5703125" style="111" customWidth="1"/>
    <col min="5638" max="5638" width="16.5703125" style="111" customWidth="1"/>
    <col min="5639" max="5639" width="18.7109375" style="111" customWidth="1"/>
    <col min="5640" max="5640" width="17.28515625" style="111" customWidth="1"/>
    <col min="5641" max="5641" width="4.5703125" style="111" customWidth="1"/>
    <col min="5642" max="5642" width="25.7109375" style="111" customWidth="1"/>
    <col min="5643" max="5643" width="13.28515625" style="111" customWidth="1"/>
    <col min="5644" max="5644" width="16.5703125" style="111" customWidth="1"/>
    <col min="5645" max="5646" width="9.140625" style="111"/>
    <col min="5647" max="5647" width="11.5703125" style="111" customWidth="1"/>
    <col min="5648" max="5652" width="22.5703125" style="111" customWidth="1"/>
    <col min="5653" max="5889" width="9.140625" style="111"/>
    <col min="5890" max="5890" width="13" style="111" customWidth="1"/>
    <col min="5891" max="5892" width="20.7109375" style="111" customWidth="1"/>
    <col min="5893" max="5893" width="15.5703125" style="111" customWidth="1"/>
    <col min="5894" max="5894" width="16.5703125" style="111" customWidth="1"/>
    <col min="5895" max="5895" width="18.7109375" style="111" customWidth="1"/>
    <col min="5896" max="5896" width="17.28515625" style="111" customWidth="1"/>
    <col min="5897" max="5897" width="4.5703125" style="111" customWidth="1"/>
    <col min="5898" max="5898" width="25.7109375" style="111" customWidth="1"/>
    <col min="5899" max="5899" width="13.28515625" style="111" customWidth="1"/>
    <col min="5900" max="5900" width="16.5703125" style="111" customWidth="1"/>
    <col min="5901" max="5902" width="9.140625" style="111"/>
    <col min="5903" max="5903" width="11.5703125" style="111" customWidth="1"/>
    <col min="5904" max="5908" width="22.5703125" style="111" customWidth="1"/>
    <col min="5909" max="6145" width="9.140625" style="111"/>
    <col min="6146" max="6146" width="13" style="111" customWidth="1"/>
    <col min="6147" max="6148" width="20.7109375" style="111" customWidth="1"/>
    <col min="6149" max="6149" width="15.5703125" style="111" customWidth="1"/>
    <col min="6150" max="6150" width="16.5703125" style="111" customWidth="1"/>
    <col min="6151" max="6151" width="18.7109375" style="111" customWidth="1"/>
    <col min="6152" max="6152" width="17.28515625" style="111" customWidth="1"/>
    <col min="6153" max="6153" width="4.5703125" style="111" customWidth="1"/>
    <col min="6154" max="6154" width="25.7109375" style="111" customWidth="1"/>
    <col min="6155" max="6155" width="13.28515625" style="111" customWidth="1"/>
    <col min="6156" max="6156" width="16.5703125" style="111" customWidth="1"/>
    <col min="6157" max="6158" width="9.140625" style="111"/>
    <col min="6159" max="6159" width="11.5703125" style="111" customWidth="1"/>
    <col min="6160" max="6164" width="22.5703125" style="111" customWidth="1"/>
    <col min="6165" max="6401" width="9.140625" style="111"/>
    <col min="6402" max="6402" width="13" style="111" customWidth="1"/>
    <col min="6403" max="6404" width="20.7109375" style="111" customWidth="1"/>
    <col min="6405" max="6405" width="15.5703125" style="111" customWidth="1"/>
    <col min="6406" max="6406" width="16.5703125" style="111" customWidth="1"/>
    <col min="6407" max="6407" width="18.7109375" style="111" customWidth="1"/>
    <col min="6408" max="6408" width="17.28515625" style="111" customWidth="1"/>
    <col min="6409" max="6409" width="4.5703125" style="111" customWidth="1"/>
    <col min="6410" max="6410" width="25.7109375" style="111" customWidth="1"/>
    <col min="6411" max="6411" width="13.28515625" style="111" customWidth="1"/>
    <col min="6412" max="6412" width="16.5703125" style="111" customWidth="1"/>
    <col min="6413" max="6414" width="9.140625" style="111"/>
    <col min="6415" max="6415" width="11.5703125" style="111" customWidth="1"/>
    <col min="6416" max="6420" width="22.5703125" style="111" customWidth="1"/>
    <col min="6421" max="6657" width="9.140625" style="111"/>
    <col min="6658" max="6658" width="13" style="111" customWidth="1"/>
    <col min="6659" max="6660" width="20.7109375" style="111" customWidth="1"/>
    <col min="6661" max="6661" width="15.5703125" style="111" customWidth="1"/>
    <col min="6662" max="6662" width="16.5703125" style="111" customWidth="1"/>
    <col min="6663" max="6663" width="18.7109375" style="111" customWidth="1"/>
    <col min="6664" max="6664" width="17.28515625" style="111" customWidth="1"/>
    <col min="6665" max="6665" width="4.5703125" style="111" customWidth="1"/>
    <col min="6666" max="6666" width="25.7109375" style="111" customWidth="1"/>
    <col min="6667" max="6667" width="13.28515625" style="111" customWidth="1"/>
    <col min="6668" max="6668" width="16.5703125" style="111" customWidth="1"/>
    <col min="6669" max="6670" width="9.140625" style="111"/>
    <col min="6671" max="6671" width="11.5703125" style="111" customWidth="1"/>
    <col min="6672" max="6676" width="22.5703125" style="111" customWidth="1"/>
    <col min="6677" max="6913" width="9.140625" style="111"/>
    <col min="6914" max="6914" width="13" style="111" customWidth="1"/>
    <col min="6915" max="6916" width="20.7109375" style="111" customWidth="1"/>
    <col min="6917" max="6917" width="15.5703125" style="111" customWidth="1"/>
    <col min="6918" max="6918" width="16.5703125" style="111" customWidth="1"/>
    <col min="6919" max="6919" width="18.7109375" style="111" customWidth="1"/>
    <col min="6920" max="6920" width="17.28515625" style="111" customWidth="1"/>
    <col min="6921" max="6921" width="4.5703125" style="111" customWidth="1"/>
    <col min="6922" max="6922" width="25.7109375" style="111" customWidth="1"/>
    <col min="6923" max="6923" width="13.28515625" style="111" customWidth="1"/>
    <col min="6924" max="6924" width="16.5703125" style="111" customWidth="1"/>
    <col min="6925" max="6926" width="9.140625" style="111"/>
    <col min="6927" max="6927" width="11.5703125" style="111" customWidth="1"/>
    <col min="6928" max="6932" width="22.5703125" style="111" customWidth="1"/>
    <col min="6933" max="7169" width="9.140625" style="111"/>
    <col min="7170" max="7170" width="13" style="111" customWidth="1"/>
    <col min="7171" max="7172" width="20.7109375" style="111" customWidth="1"/>
    <col min="7173" max="7173" width="15.5703125" style="111" customWidth="1"/>
    <col min="7174" max="7174" width="16.5703125" style="111" customWidth="1"/>
    <col min="7175" max="7175" width="18.7109375" style="111" customWidth="1"/>
    <col min="7176" max="7176" width="17.28515625" style="111" customWidth="1"/>
    <col min="7177" max="7177" width="4.5703125" style="111" customWidth="1"/>
    <col min="7178" max="7178" width="25.7109375" style="111" customWidth="1"/>
    <col min="7179" max="7179" width="13.28515625" style="111" customWidth="1"/>
    <col min="7180" max="7180" width="16.5703125" style="111" customWidth="1"/>
    <col min="7181" max="7182" width="9.140625" style="111"/>
    <col min="7183" max="7183" width="11.5703125" style="111" customWidth="1"/>
    <col min="7184" max="7188" width="22.5703125" style="111" customWidth="1"/>
    <col min="7189" max="7425" width="9.140625" style="111"/>
    <col min="7426" max="7426" width="13" style="111" customWidth="1"/>
    <col min="7427" max="7428" width="20.7109375" style="111" customWidth="1"/>
    <col min="7429" max="7429" width="15.5703125" style="111" customWidth="1"/>
    <col min="7430" max="7430" width="16.5703125" style="111" customWidth="1"/>
    <col min="7431" max="7431" width="18.7109375" style="111" customWidth="1"/>
    <col min="7432" max="7432" width="17.28515625" style="111" customWidth="1"/>
    <col min="7433" max="7433" width="4.5703125" style="111" customWidth="1"/>
    <col min="7434" max="7434" width="25.7109375" style="111" customWidth="1"/>
    <col min="7435" max="7435" width="13.28515625" style="111" customWidth="1"/>
    <col min="7436" max="7436" width="16.5703125" style="111" customWidth="1"/>
    <col min="7437" max="7438" width="9.140625" style="111"/>
    <col min="7439" max="7439" width="11.5703125" style="111" customWidth="1"/>
    <col min="7440" max="7444" width="22.5703125" style="111" customWidth="1"/>
    <col min="7445" max="7681" width="9.140625" style="111"/>
    <col min="7682" max="7682" width="13" style="111" customWidth="1"/>
    <col min="7683" max="7684" width="20.7109375" style="111" customWidth="1"/>
    <col min="7685" max="7685" width="15.5703125" style="111" customWidth="1"/>
    <col min="7686" max="7686" width="16.5703125" style="111" customWidth="1"/>
    <col min="7687" max="7687" width="18.7109375" style="111" customWidth="1"/>
    <col min="7688" max="7688" width="17.28515625" style="111" customWidth="1"/>
    <col min="7689" max="7689" width="4.5703125" style="111" customWidth="1"/>
    <col min="7690" max="7690" width="25.7109375" style="111" customWidth="1"/>
    <col min="7691" max="7691" width="13.28515625" style="111" customWidth="1"/>
    <col min="7692" max="7692" width="16.5703125" style="111" customWidth="1"/>
    <col min="7693" max="7694" width="9.140625" style="111"/>
    <col min="7695" max="7695" width="11.5703125" style="111" customWidth="1"/>
    <col min="7696" max="7700" width="22.5703125" style="111" customWidth="1"/>
    <col min="7701" max="7937" width="9.140625" style="111"/>
    <col min="7938" max="7938" width="13" style="111" customWidth="1"/>
    <col min="7939" max="7940" width="20.7109375" style="111" customWidth="1"/>
    <col min="7941" max="7941" width="15.5703125" style="111" customWidth="1"/>
    <col min="7942" max="7942" width="16.5703125" style="111" customWidth="1"/>
    <col min="7943" max="7943" width="18.7109375" style="111" customWidth="1"/>
    <col min="7944" max="7944" width="17.28515625" style="111" customWidth="1"/>
    <col min="7945" max="7945" width="4.5703125" style="111" customWidth="1"/>
    <col min="7946" max="7946" width="25.7109375" style="111" customWidth="1"/>
    <col min="7947" max="7947" width="13.28515625" style="111" customWidth="1"/>
    <col min="7948" max="7948" width="16.5703125" style="111" customWidth="1"/>
    <col min="7949" max="7950" width="9.140625" style="111"/>
    <col min="7951" max="7951" width="11.5703125" style="111" customWidth="1"/>
    <col min="7952" max="7956" width="22.5703125" style="111" customWidth="1"/>
    <col min="7957" max="8193" width="9.140625" style="111"/>
    <col min="8194" max="8194" width="13" style="111" customWidth="1"/>
    <col min="8195" max="8196" width="20.7109375" style="111" customWidth="1"/>
    <col min="8197" max="8197" width="15.5703125" style="111" customWidth="1"/>
    <col min="8198" max="8198" width="16.5703125" style="111" customWidth="1"/>
    <col min="8199" max="8199" width="18.7109375" style="111" customWidth="1"/>
    <col min="8200" max="8200" width="17.28515625" style="111" customWidth="1"/>
    <col min="8201" max="8201" width="4.5703125" style="111" customWidth="1"/>
    <col min="8202" max="8202" width="25.7109375" style="111" customWidth="1"/>
    <col min="8203" max="8203" width="13.28515625" style="111" customWidth="1"/>
    <col min="8204" max="8204" width="16.5703125" style="111" customWidth="1"/>
    <col min="8205" max="8206" width="9.140625" style="111"/>
    <col min="8207" max="8207" width="11.5703125" style="111" customWidth="1"/>
    <col min="8208" max="8212" width="22.5703125" style="111" customWidth="1"/>
    <col min="8213" max="8449" width="9.140625" style="111"/>
    <col min="8450" max="8450" width="13" style="111" customWidth="1"/>
    <col min="8451" max="8452" width="20.7109375" style="111" customWidth="1"/>
    <col min="8453" max="8453" width="15.5703125" style="111" customWidth="1"/>
    <col min="8454" max="8454" width="16.5703125" style="111" customWidth="1"/>
    <col min="8455" max="8455" width="18.7109375" style="111" customWidth="1"/>
    <col min="8456" max="8456" width="17.28515625" style="111" customWidth="1"/>
    <col min="8457" max="8457" width="4.5703125" style="111" customWidth="1"/>
    <col min="8458" max="8458" width="25.7109375" style="111" customWidth="1"/>
    <col min="8459" max="8459" width="13.28515625" style="111" customWidth="1"/>
    <col min="8460" max="8460" width="16.5703125" style="111" customWidth="1"/>
    <col min="8461" max="8462" width="9.140625" style="111"/>
    <col min="8463" max="8463" width="11.5703125" style="111" customWidth="1"/>
    <col min="8464" max="8468" width="22.5703125" style="111" customWidth="1"/>
    <col min="8469" max="8705" width="9.140625" style="111"/>
    <col min="8706" max="8706" width="13" style="111" customWidth="1"/>
    <col min="8707" max="8708" width="20.7109375" style="111" customWidth="1"/>
    <col min="8709" max="8709" width="15.5703125" style="111" customWidth="1"/>
    <col min="8710" max="8710" width="16.5703125" style="111" customWidth="1"/>
    <col min="8711" max="8711" width="18.7109375" style="111" customWidth="1"/>
    <col min="8712" max="8712" width="17.28515625" style="111" customWidth="1"/>
    <col min="8713" max="8713" width="4.5703125" style="111" customWidth="1"/>
    <col min="8714" max="8714" width="25.7109375" style="111" customWidth="1"/>
    <col min="8715" max="8715" width="13.28515625" style="111" customWidth="1"/>
    <col min="8716" max="8716" width="16.5703125" style="111" customWidth="1"/>
    <col min="8717" max="8718" width="9.140625" style="111"/>
    <col min="8719" max="8719" width="11.5703125" style="111" customWidth="1"/>
    <col min="8720" max="8724" width="22.5703125" style="111" customWidth="1"/>
    <col min="8725" max="8961" width="9.140625" style="111"/>
    <col min="8962" max="8962" width="13" style="111" customWidth="1"/>
    <col min="8963" max="8964" width="20.7109375" style="111" customWidth="1"/>
    <col min="8965" max="8965" width="15.5703125" style="111" customWidth="1"/>
    <col min="8966" max="8966" width="16.5703125" style="111" customWidth="1"/>
    <col min="8967" max="8967" width="18.7109375" style="111" customWidth="1"/>
    <col min="8968" max="8968" width="17.28515625" style="111" customWidth="1"/>
    <col min="8969" max="8969" width="4.5703125" style="111" customWidth="1"/>
    <col min="8970" max="8970" width="25.7109375" style="111" customWidth="1"/>
    <col min="8971" max="8971" width="13.28515625" style="111" customWidth="1"/>
    <col min="8972" max="8972" width="16.5703125" style="111" customWidth="1"/>
    <col min="8973" max="8974" width="9.140625" style="111"/>
    <col min="8975" max="8975" width="11.5703125" style="111" customWidth="1"/>
    <col min="8976" max="8980" width="22.5703125" style="111" customWidth="1"/>
    <col min="8981" max="9217" width="9.140625" style="111"/>
    <col min="9218" max="9218" width="13" style="111" customWidth="1"/>
    <col min="9219" max="9220" width="20.7109375" style="111" customWidth="1"/>
    <col min="9221" max="9221" width="15.5703125" style="111" customWidth="1"/>
    <col min="9222" max="9222" width="16.5703125" style="111" customWidth="1"/>
    <col min="9223" max="9223" width="18.7109375" style="111" customWidth="1"/>
    <col min="9224" max="9224" width="17.28515625" style="111" customWidth="1"/>
    <col min="9225" max="9225" width="4.5703125" style="111" customWidth="1"/>
    <col min="9226" max="9226" width="25.7109375" style="111" customWidth="1"/>
    <col min="9227" max="9227" width="13.28515625" style="111" customWidth="1"/>
    <col min="9228" max="9228" width="16.5703125" style="111" customWidth="1"/>
    <col min="9229" max="9230" width="9.140625" style="111"/>
    <col min="9231" max="9231" width="11.5703125" style="111" customWidth="1"/>
    <col min="9232" max="9236" width="22.5703125" style="111" customWidth="1"/>
    <col min="9237" max="9473" width="9.140625" style="111"/>
    <col min="9474" max="9474" width="13" style="111" customWidth="1"/>
    <col min="9475" max="9476" width="20.7109375" style="111" customWidth="1"/>
    <col min="9477" max="9477" width="15.5703125" style="111" customWidth="1"/>
    <col min="9478" max="9478" width="16.5703125" style="111" customWidth="1"/>
    <col min="9479" max="9479" width="18.7109375" style="111" customWidth="1"/>
    <col min="9480" max="9480" width="17.28515625" style="111" customWidth="1"/>
    <col min="9481" max="9481" width="4.5703125" style="111" customWidth="1"/>
    <col min="9482" max="9482" width="25.7109375" style="111" customWidth="1"/>
    <col min="9483" max="9483" width="13.28515625" style="111" customWidth="1"/>
    <col min="9484" max="9484" width="16.5703125" style="111" customWidth="1"/>
    <col min="9485" max="9486" width="9.140625" style="111"/>
    <col min="9487" max="9487" width="11.5703125" style="111" customWidth="1"/>
    <col min="9488" max="9492" width="22.5703125" style="111" customWidth="1"/>
    <col min="9493" max="9729" width="9.140625" style="111"/>
    <col min="9730" max="9730" width="13" style="111" customWidth="1"/>
    <col min="9731" max="9732" width="20.7109375" style="111" customWidth="1"/>
    <col min="9733" max="9733" width="15.5703125" style="111" customWidth="1"/>
    <col min="9734" max="9734" width="16.5703125" style="111" customWidth="1"/>
    <col min="9735" max="9735" width="18.7109375" style="111" customWidth="1"/>
    <col min="9736" max="9736" width="17.28515625" style="111" customWidth="1"/>
    <col min="9737" max="9737" width="4.5703125" style="111" customWidth="1"/>
    <col min="9738" max="9738" width="25.7109375" style="111" customWidth="1"/>
    <col min="9739" max="9739" width="13.28515625" style="111" customWidth="1"/>
    <col min="9740" max="9740" width="16.5703125" style="111" customWidth="1"/>
    <col min="9741" max="9742" width="9.140625" style="111"/>
    <col min="9743" max="9743" width="11.5703125" style="111" customWidth="1"/>
    <col min="9744" max="9748" width="22.5703125" style="111" customWidth="1"/>
    <col min="9749" max="9985" width="9.140625" style="111"/>
    <col min="9986" max="9986" width="13" style="111" customWidth="1"/>
    <col min="9987" max="9988" width="20.7109375" style="111" customWidth="1"/>
    <col min="9989" max="9989" width="15.5703125" style="111" customWidth="1"/>
    <col min="9990" max="9990" width="16.5703125" style="111" customWidth="1"/>
    <col min="9991" max="9991" width="18.7109375" style="111" customWidth="1"/>
    <col min="9992" max="9992" width="17.28515625" style="111" customWidth="1"/>
    <col min="9993" max="9993" width="4.5703125" style="111" customWidth="1"/>
    <col min="9994" max="9994" width="25.7109375" style="111" customWidth="1"/>
    <col min="9995" max="9995" width="13.28515625" style="111" customWidth="1"/>
    <col min="9996" max="9996" width="16.5703125" style="111" customWidth="1"/>
    <col min="9997" max="9998" width="9.140625" style="111"/>
    <col min="9999" max="9999" width="11.5703125" style="111" customWidth="1"/>
    <col min="10000" max="10004" width="22.5703125" style="111" customWidth="1"/>
    <col min="10005" max="10241" width="9.140625" style="111"/>
    <col min="10242" max="10242" width="13" style="111" customWidth="1"/>
    <col min="10243" max="10244" width="20.7109375" style="111" customWidth="1"/>
    <col min="10245" max="10245" width="15.5703125" style="111" customWidth="1"/>
    <col min="10246" max="10246" width="16.5703125" style="111" customWidth="1"/>
    <col min="10247" max="10247" width="18.7109375" style="111" customWidth="1"/>
    <col min="10248" max="10248" width="17.28515625" style="111" customWidth="1"/>
    <col min="10249" max="10249" width="4.5703125" style="111" customWidth="1"/>
    <col min="10250" max="10250" width="25.7109375" style="111" customWidth="1"/>
    <col min="10251" max="10251" width="13.28515625" style="111" customWidth="1"/>
    <col min="10252" max="10252" width="16.5703125" style="111" customWidth="1"/>
    <col min="10253" max="10254" width="9.140625" style="111"/>
    <col min="10255" max="10255" width="11.5703125" style="111" customWidth="1"/>
    <col min="10256" max="10260" width="22.5703125" style="111" customWidth="1"/>
    <col min="10261" max="10497" width="9.140625" style="111"/>
    <col min="10498" max="10498" width="13" style="111" customWidth="1"/>
    <col min="10499" max="10500" width="20.7109375" style="111" customWidth="1"/>
    <col min="10501" max="10501" width="15.5703125" style="111" customWidth="1"/>
    <col min="10502" max="10502" width="16.5703125" style="111" customWidth="1"/>
    <col min="10503" max="10503" width="18.7109375" style="111" customWidth="1"/>
    <col min="10504" max="10504" width="17.28515625" style="111" customWidth="1"/>
    <col min="10505" max="10505" width="4.5703125" style="111" customWidth="1"/>
    <col min="10506" max="10506" width="25.7109375" style="111" customWidth="1"/>
    <col min="10507" max="10507" width="13.28515625" style="111" customWidth="1"/>
    <col min="10508" max="10508" width="16.5703125" style="111" customWidth="1"/>
    <col min="10509" max="10510" width="9.140625" style="111"/>
    <col min="10511" max="10511" width="11.5703125" style="111" customWidth="1"/>
    <col min="10512" max="10516" width="22.5703125" style="111" customWidth="1"/>
    <col min="10517" max="10753" width="9.140625" style="111"/>
    <col min="10754" max="10754" width="13" style="111" customWidth="1"/>
    <col min="10755" max="10756" width="20.7109375" style="111" customWidth="1"/>
    <col min="10757" max="10757" width="15.5703125" style="111" customWidth="1"/>
    <col min="10758" max="10758" width="16.5703125" style="111" customWidth="1"/>
    <col min="10759" max="10759" width="18.7109375" style="111" customWidth="1"/>
    <col min="10760" max="10760" width="17.28515625" style="111" customWidth="1"/>
    <col min="10761" max="10761" width="4.5703125" style="111" customWidth="1"/>
    <col min="10762" max="10762" width="25.7109375" style="111" customWidth="1"/>
    <col min="10763" max="10763" width="13.28515625" style="111" customWidth="1"/>
    <col min="10764" max="10764" width="16.5703125" style="111" customWidth="1"/>
    <col min="10765" max="10766" width="9.140625" style="111"/>
    <col min="10767" max="10767" width="11.5703125" style="111" customWidth="1"/>
    <col min="10768" max="10772" width="22.5703125" style="111" customWidth="1"/>
    <col min="10773" max="11009" width="9.140625" style="111"/>
    <col min="11010" max="11010" width="13" style="111" customWidth="1"/>
    <col min="11011" max="11012" width="20.7109375" style="111" customWidth="1"/>
    <col min="11013" max="11013" width="15.5703125" style="111" customWidth="1"/>
    <col min="11014" max="11014" width="16.5703125" style="111" customWidth="1"/>
    <col min="11015" max="11015" width="18.7109375" style="111" customWidth="1"/>
    <col min="11016" max="11016" width="17.28515625" style="111" customWidth="1"/>
    <col min="11017" max="11017" width="4.5703125" style="111" customWidth="1"/>
    <col min="11018" max="11018" width="25.7109375" style="111" customWidth="1"/>
    <col min="11019" max="11019" width="13.28515625" style="111" customWidth="1"/>
    <col min="11020" max="11020" width="16.5703125" style="111" customWidth="1"/>
    <col min="11021" max="11022" width="9.140625" style="111"/>
    <col min="11023" max="11023" width="11.5703125" style="111" customWidth="1"/>
    <col min="11024" max="11028" width="22.5703125" style="111" customWidth="1"/>
    <col min="11029" max="11265" width="9.140625" style="111"/>
    <col min="11266" max="11266" width="13" style="111" customWidth="1"/>
    <col min="11267" max="11268" width="20.7109375" style="111" customWidth="1"/>
    <col min="11269" max="11269" width="15.5703125" style="111" customWidth="1"/>
    <col min="11270" max="11270" width="16.5703125" style="111" customWidth="1"/>
    <col min="11271" max="11271" width="18.7109375" style="111" customWidth="1"/>
    <col min="11272" max="11272" width="17.28515625" style="111" customWidth="1"/>
    <col min="11273" max="11273" width="4.5703125" style="111" customWidth="1"/>
    <col min="11274" max="11274" width="25.7109375" style="111" customWidth="1"/>
    <col min="11275" max="11275" width="13.28515625" style="111" customWidth="1"/>
    <col min="11276" max="11276" width="16.5703125" style="111" customWidth="1"/>
    <col min="11277" max="11278" width="9.140625" style="111"/>
    <col min="11279" max="11279" width="11.5703125" style="111" customWidth="1"/>
    <col min="11280" max="11284" width="22.5703125" style="111" customWidth="1"/>
    <col min="11285" max="11521" width="9.140625" style="111"/>
    <col min="11522" max="11522" width="13" style="111" customWidth="1"/>
    <col min="11523" max="11524" width="20.7109375" style="111" customWidth="1"/>
    <col min="11525" max="11525" width="15.5703125" style="111" customWidth="1"/>
    <col min="11526" max="11526" width="16.5703125" style="111" customWidth="1"/>
    <col min="11527" max="11527" width="18.7109375" style="111" customWidth="1"/>
    <col min="11528" max="11528" width="17.28515625" style="111" customWidth="1"/>
    <col min="11529" max="11529" width="4.5703125" style="111" customWidth="1"/>
    <col min="11530" max="11530" width="25.7109375" style="111" customWidth="1"/>
    <col min="11531" max="11531" width="13.28515625" style="111" customWidth="1"/>
    <col min="11532" max="11532" width="16.5703125" style="111" customWidth="1"/>
    <col min="11533" max="11534" width="9.140625" style="111"/>
    <col min="11535" max="11535" width="11.5703125" style="111" customWidth="1"/>
    <col min="11536" max="11540" width="22.5703125" style="111" customWidth="1"/>
    <col min="11541" max="11777" width="9.140625" style="111"/>
    <col min="11778" max="11778" width="13" style="111" customWidth="1"/>
    <col min="11779" max="11780" width="20.7109375" style="111" customWidth="1"/>
    <col min="11781" max="11781" width="15.5703125" style="111" customWidth="1"/>
    <col min="11782" max="11782" width="16.5703125" style="111" customWidth="1"/>
    <col min="11783" max="11783" width="18.7109375" style="111" customWidth="1"/>
    <col min="11784" max="11784" width="17.28515625" style="111" customWidth="1"/>
    <col min="11785" max="11785" width="4.5703125" style="111" customWidth="1"/>
    <col min="11786" max="11786" width="25.7109375" style="111" customWidth="1"/>
    <col min="11787" max="11787" width="13.28515625" style="111" customWidth="1"/>
    <col min="11788" max="11788" width="16.5703125" style="111" customWidth="1"/>
    <col min="11789" max="11790" width="9.140625" style="111"/>
    <col min="11791" max="11791" width="11.5703125" style="111" customWidth="1"/>
    <col min="11792" max="11796" width="22.5703125" style="111" customWidth="1"/>
    <col min="11797" max="12033" width="9.140625" style="111"/>
    <col min="12034" max="12034" width="13" style="111" customWidth="1"/>
    <col min="12035" max="12036" width="20.7109375" style="111" customWidth="1"/>
    <col min="12037" max="12037" width="15.5703125" style="111" customWidth="1"/>
    <col min="12038" max="12038" width="16.5703125" style="111" customWidth="1"/>
    <col min="12039" max="12039" width="18.7109375" style="111" customWidth="1"/>
    <col min="12040" max="12040" width="17.28515625" style="111" customWidth="1"/>
    <col min="12041" max="12041" width="4.5703125" style="111" customWidth="1"/>
    <col min="12042" max="12042" width="25.7109375" style="111" customWidth="1"/>
    <col min="12043" max="12043" width="13.28515625" style="111" customWidth="1"/>
    <col min="12044" max="12044" width="16.5703125" style="111" customWidth="1"/>
    <col min="12045" max="12046" width="9.140625" style="111"/>
    <col min="12047" max="12047" width="11.5703125" style="111" customWidth="1"/>
    <col min="12048" max="12052" width="22.5703125" style="111" customWidth="1"/>
    <col min="12053" max="12289" width="9.140625" style="111"/>
    <col min="12290" max="12290" width="13" style="111" customWidth="1"/>
    <col min="12291" max="12292" width="20.7109375" style="111" customWidth="1"/>
    <col min="12293" max="12293" width="15.5703125" style="111" customWidth="1"/>
    <col min="12294" max="12294" width="16.5703125" style="111" customWidth="1"/>
    <col min="12295" max="12295" width="18.7109375" style="111" customWidth="1"/>
    <col min="12296" max="12296" width="17.28515625" style="111" customWidth="1"/>
    <col min="12297" max="12297" width="4.5703125" style="111" customWidth="1"/>
    <col min="12298" max="12298" width="25.7109375" style="111" customWidth="1"/>
    <col min="12299" max="12299" width="13.28515625" style="111" customWidth="1"/>
    <col min="12300" max="12300" width="16.5703125" style="111" customWidth="1"/>
    <col min="12301" max="12302" width="9.140625" style="111"/>
    <col min="12303" max="12303" width="11.5703125" style="111" customWidth="1"/>
    <col min="12304" max="12308" width="22.5703125" style="111" customWidth="1"/>
    <col min="12309" max="12545" width="9.140625" style="111"/>
    <col min="12546" max="12546" width="13" style="111" customWidth="1"/>
    <col min="12547" max="12548" width="20.7109375" style="111" customWidth="1"/>
    <col min="12549" max="12549" width="15.5703125" style="111" customWidth="1"/>
    <col min="12550" max="12550" width="16.5703125" style="111" customWidth="1"/>
    <col min="12551" max="12551" width="18.7109375" style="111" customWidth="1"/>
    <col min="12552" max="12552" width="17.28515625" style="111" customWidth="1"/>
    <col min="12553" max="12553" width="4.5703125" style="111" customWidth="1"/>
    <col min="12554" max="12554" width="25.7109375" style="111" customWidth="1"/>
    <col min="12555" max="12555" width="13.28515625" style="111" customWidth="1"/>
    <col min="12556" max="12556" width="16.5703125" style="111" customWidth="1"/>
    <col min="12557" max="12558" width="9.140625" style="111"/>
    <col min="12559" max="12559" width="11.5703125" style="111" customWidth="1"/>
    <col min="12560" max="12564" width="22.5703125" style="111" customWidth="1"/>
    <col min="12565" max="12801" width="9.140625" style="111"/>
    <col min="12802" max="12802" width="13" style="111" customWidth="1"/>
    <col min="12803" max="12804" width="20.7109375" style="111" customWidth="1"/>
    <col min="12805" max="12805" width="15.5703125" style="111" customWidth="1"/>
    <col min="12806" max="12806" width="16.5703125" style="111" customWidth="1"/>
    <col min="12807" max="12807" width="18.7109375" style="111" customWidth="1"/>
    <col min="12808" max="12808" width="17.28515625" style="111" customWidth="1"/>
    <col min="12809" max="12809" width="4.5703125" style="111" customWidth="1"/>
    <col min="12810" max="12810" width="25.7109375" style="111" customWidth="1"/>
    <col min="12811" max="12811" width="13.28515625" style="111" customWidth="1"/>
    <col min="12812" max="12812" width="16.5703125" style="111" customWidth="1"/>
    <col min="12813" max="12814" width="9.140625" style="111"/>
    <col min="12815" max="12815" width="11.5703125" style="111" customWidth="1"/>
    <col min="12816" max="12820" width="22.5703125" style="111" customWidth="1"/>
    <col min="12821" max="13057" width="9.140625" style="111"/>
    <col min="13058" max="13058" width="13" style="111" customWidth="1"/>
    <col min="13059" max="13060" width="20.7109375" style="111" customWidth="1"/>
    <col min="13061" max="13061" width="15.5703125" style="111" customWidth="1"/>
    <col min="13062" max="13062" width="16.5703125" style="111" customWidth="1"/>
    <col min="13063" max="13063" width="18.7109375" style="111" customWidth="1"/>
    <col min="13064" max="13064" width="17.28515625" style="111" customWidth="1"/>
    <col min="13065" max="13065" width="4.5703125" style="111" customWidth="1"/>
    <col min="13066" max="13066" width="25.7109375" style="111" customWidth="1"/>
    <col min="13067" max="13067" width="13.28515625" style="111" customWidth="1"/>
    <col min="13068" max="13068" width="16.5703125" style="111" customWidth="1"/>
    <col min="13069" max="13070" width="9.140625" style="111"/>
    <col min="13071" max="13071" width="11.5703125" style="111" customWidth="1"/>
    <col min="13072" max="13076" width="22.5703125" style="111" customWidth="1"/>
    <col min="13077" max="13313" width="9.140625" style="111"/>
    <col min="13314" max="13314" width="13" style="111" customWidth="1"/>
    <col min="13315" max="13316" width="20.7109375" style="111" customWidth="1"/>
    <col min="13317" max="13317" width="15.5703125" style="111" customWidth="1"/>
    <col min="13318" max="13318" width="16.5703125" style="111" customWidth="1"/>
    <col min="13319" max="13319" width="18.7109375" style="111" customWidth="1"/>
    <col min="13320" max="13320" width="17.28515625" style="111" customWidth="1"/>
    <col min="13321" max="13321" width="4.5703125" style="111" customWidth="1"/>
    <col min="13322" max="13322" width="25.7109375" style="111" customWidth="1"/>
    <col min="13323" max="13323" width="13.28515625" style="111" customWidth="1"/>
    <col min="13324" max="13324" width="16.5703125" style="111" customWidth="1"/>
    <col min="13325" max="13326" width="9.140625" style="111"/>
    <col min="13327" max="13327" width="11.5703125" style="111" customWidth="1"/>
    <col min="13328" max="13332" width="22.5703125" style="111" customWidth="1"/>
    <col min="13333" max="13569" width="9.140625" style="111"/>
    <col min="13570" max="13570" width="13" style="111" customWidth="1"/>
    <col min="13571" max="13572" width="20.7109375" style="111" customWidth="1"/>
    <col min="13573" max="13573" width="15.5703125" style="111" customWidth="1"/>
    <col min="13574" max="13574" width="16.5703125" style="111" customWidth="1"/>
    <col min="13575" max="13575" width="18.7109375" style="111" customWidth="1"/>
    <col min="13576" max="13576" width="17.28515625" style="111" customWidth="1"/>
    <col min="13577" max="13577" width="4.5703125" style="111" customWidth="1"/>
    <col min="13578" max="13578" width="25.7109375" style="111" customWidth="1"/>
    <col min="13579" max="13579" width="13.28515625" style="111" customWidth="1"/>
    <col min="13580" max="13580" width="16.5703125" style="111" customWidth="1"/>
    <col min="13581" max="13582" width="9.140625" style="111"/>
    <col min="13583" max="13583" width="11.5703125" style="111" customWidth="1"/>
    <col min="13584" max="13588" width="22.5703125" style="111" customWidth="1"/>
    <col min="13589" max="13825" width="9.140625" style="111"/>
    <col min="13826" max="13826" width="13" style="111" customWidth="1"/>
    <col min="13827" max="13828" width="20.7109375" style="111" customWidth="1"/>
    <col min="13829" max="13829" width="15.5703125" style="111" customWidth="1"/>
    <col min="13830" max="13830" width="16.5703125" style="111" customWidth="1"/>
    <col min="13831" max="13831" width="18.7109375" style="111" customWidth="1"/>
    <col min="13832" max="13832" width="17.28515625" style="111" customWidth="1"/>
    <col min="13833" max="13833" width="4.5703125" style="111" customWidth="1"/>
    <col min="13834" max="13834" width="25.7109375" style="111" customWidth="1"/>
    <col min="13835" max="13835" width="13.28515625" style="111" customWidth="1"/>
    <col min="13836" max="13836" width="16.5703125" style="111" customWidth="1"/>
    <col min="13837" max="13838" width="9.140625" style="111"/>
    <col min="13839" max="13839" width="11.5703125" style="111" customWidth="1"/>
    <col min="13840" max="13844" width="22.5703125" style="111" customWidth="1"/>
    <col min="13845" max="14081" width="9.140625" style="111"/>
    <col min="14082" max="14082" width="13" style="111" customWidth="1"/>
    <col min="14083" max="14084" width="20.7109375" style="111" customWidth="1"/>
    <col min="14085" max="14085" width="15.5703125" style="111" customWidth="1"/>
    <col min="14086" max="14086" width="16.5703125" style="111" customWidth="1"/>
    <col min="14087" max="14087" width="18.7109375" style="111" customWidth="1"/>
    <col min="14088" max="14088" width="17.28515625" style="111" customWidth="1"/>
    <col min="14089" max="14089" width="4.5703125" style="111" customWidth="1"/>
    <col min="14090" max="14090" width="25.7109375" style="111" customWidth="1"/>
    <col min="14091" max="14091" width="13.28515625" style="111" customWidth="1"/>
    <col min="14092" max="14092" width="16.5703125" style="111" customWidth="1"/>
    <col min="14093" max="14094" width="9.140625" style="111"/>
    <col min="14095" max="14095" width="11.5703125" style="111" customWidth="1"/>
    <col min="14096" max="14100" width="22.5703125" style="111" customWidth="1"/>
    <col min="14101" max="14337" width="9.140625" style="111"/>
    <col min="14338" max="14338" width="13" style="111" customWidth="1"/>
    <col min="14339" max="14340" width="20.7109375" style="111" customWidth="1"/>
    <col min="14341" max="14341" width="15.5703125" style="111" customWidth="1"/>
    <col min="14342" max="14342" width="16.5703125" style="111" customWidth="1"/>
    <col min="14343" max="14343" width="18.7109375" style="111" customWidth="1"/>
    <col min="14344" max="14344" width="17.28515625" style="111" customWidth="1"/>
    <col min="14345" max="14345" width="4.5703125" style="111" customWidth="1"/>
    <col min="14346" max="14346" width="25.7109375" style="111" customWidth="1"/>
    <col min="14347" max="14347" width="13.28515625" style="111" customWidth="1"/>
    <col min="14348" max="14348" width="16.5703125" style="111" customWidth="1"/>
    <col min="14349" max="14350" width="9.140625" style="111"/>
    <col min="14351" max="14351" width="11.5703125" style="111" customWidth="1"/>
    <col min="14352" max="14356" width="22.5703125" style="111" customWidth="1"/>
    <col min="14357" max="14593" width="9.140625" style="111"/>
    <col min="14594" max="14594" width="13" style="111" customWidth="1"/>
    <col min="14595" max="14596" width="20.7109375" style="111" customWidth="1"/>
    <col min="14597" max="14597" width="15.5703125" style="111" customWidth="1"/>
    <col min="14598" max="14598" width="16.5703125" style="111" customWidth="1"/>
    <col min="14599" max="14599" width="18.7109375" style="111" customWidth="1"/>
    <col min="14600" max="14600" width="17.28515625" style="111" customWidth="1"/>
    <col min="14601" max="14601" width="4.5703125" style="111" customWidth="1"/>
    <col min="14602" max="14602" width="25.7109375" style="111" customWidth="1"/>
    <col min="14603" max="14603" width="13.28515625" style="111" customWidth="1"/>
    <col min="14604" max="14604" width="16.5703125" style="111" customWidth="1"/>
    <col min="14605" max="14606" width="9.140625" style="111"/>
    <col min="14607" max="14607" width="11.5703125" style="111" customWidth="1"/>
    <col min="14608" max="14612" width="22.5703125" style="111" customWidth="1"/>
    <col min="14613" max="14849" width="9.140625" style="111"/>
    <col min="14850" max="14850" width="13" style="111" customWidth="1"/>
    <col min="14851" max="14852" width="20.7109375" style="111" customWidth="1"/>
    <col min="14853" max="14853" width="15.5703125" style="111" customWidth="1"/>
    <col min="14854" max="14854" width="16.5703125" style="111" customWidth="1"/>
    <col min="14855" max="14855" width="18.7109375" style="111" customWidth="1"/>
    <col min="14856" max="14856" width="17.28515625" style="111" customWidth="1"/>
    <col min="14857" max="14857" width="4.5703125" style="111" customWidth="1"/>
    <col min="14858" max="14858" width="25.7109375" style="111" customWidth="1"/>
    <col min="14859" max="14859" width="13.28515625" style="111" customWidth="1"/>
    <col min="14860" max="14860" width="16.5703125" style="111" customWidth="1"/>
    <col min="14861" max="14862" width="9.140625" style="111"/>
    <col min="14863" max="14863" width="11.5703125" style="111" customWidth="1"/>
    <col min="14864" max="14868" width="22.5703125" style="111" customWidth="1"/>
    <col min="14869" max="15105" width="9.140625" style="111"/>
    <col min="15106" max="15106" width="13" style="111" customWidth="1"/>
    <col min="15107" max="15108" width="20.7109375" style="111" customWidth="1"/>
    <col min="15109" max="15109" width="15.5703125" style="111" customWidth="1"/>
    <col min="15110" max="15110" width="16.5703125" style="111" customWidth="1"/>
    <col min="15111" max="15111" width="18.7109375" style="111" customWidth="1"/>
    <col min="15112" max="15112" width="17.28515625" style="111" customWidth="1"/>
    <col min="15113" max="15113" width="4.5703125" style="111" customWidth="1"/>
    <col min="15114" max="15114" width="25.7109375" style="111" customWidth="1"/>
    <col min="15115" max="15115" width="13.28515625" style="111" customWidth="1"/>
    <col min="15116" max="15116" width="16.5703125" style="111" customWidth="1"/>
    <col min="15117" max="15118" width="9.140625" style="111"/>
    <col min="15119" max="15119" width="11.5703125" style="111" customWidth="1"/>
    <col min="15120" max="15124" width="22.5703125" style="111" customWidth="1"/>
    <col min="15125" max="15361" width="9.140625" style="111"/>
    <col min="15362" max="15362" width="13" style="111" customWidth="1"/>
    <col min="15363" max="15364" width="20.7109375" style="111" customWidth="1"/>
    <col min="15365" max="15365" width="15.5703125" style="111" customWidth="1"/>
    <col min="15366" max="15366" width="16.5703125" style="111" customWidth="1"/>
    <col min="15367" max="15367" width="18.7109375" style="111" customWidth="1"/>
    <col min="15368" max="15368" width="17.28515625" style="111" customWidth="1"/>
    <col min="15369" max="15369" width="4.5703125" style="111" customWidth="1"/>
    <col min="15370" max="15370" width="25.7109375" style="111" customWidth="1"/>
    <col min="15371" max="15371" width="13.28515625" style="111" customWidth="1"/>
    <col min="15372" max="15372" width="16.5703125" style="111" customWidth="1"/>
    <col min="15373" max="15374" width="9.140625" style="111"/>
    <col min="15375" max="15375" width="11.5703125" style="111" customWidth="1"/>
    <col min="15376" max="15380" width="22.5703125" style="111" customWidth="1"/>
    <col min="15381" max="15617" width="9.140625" style="111"/>
    <col min="15618" max="15618" width="13" style="111" customWidth="1"/>
    <col min="15619" max="15620" width="20.7109375" style="111" customWidth="1"/>
    <col min="15621" max="15621" width="15.5703125" style="111" customWidth="1"/>
    <col min="15622" max="15622" width="16.5703125" style="111" customWidth="1"/>
    <col min="15623" max="15623" width="18.7109375" style="111" customWidth="1"/>
    <col min="15624" max="15624" width="17.28515625" style="111" customWidth="1"/>
    <col min="15625" max="15625" width="4.5703125" style="111" customWidth="1"/>
    <col min="15626" max="15626" width="25.7109375" style="111" customWidth="1"/>
    <col min="15627" max="15627" width="13.28515625" style="111" customWidth="1"/>
    <col min="15628" max="15628" width="16.5703125" style="111" customWidth="1"/>
    <col min="15629" max="15630" width="9.140625" style="111"/>
    <col min="15631" max="15631" width="11.5703125" style="111" customWidth="1"/>
    <col min="15632" max="15636" width="22.5703125" style="111" customWidth="1"/>
    <col min="15637" max="15873" width="9.140625" style="111"/>
    <col min="15874" max="15874" width="13" style="111" customWidth="1"/>
    <col min="15875" max="15876" width="20.7109375" style="111" customWidth="1"/>
    <col min="15877" max="15877" width="15.5703125" style="111" customWidth="1"/>
    <col min="15878" max="15878" width="16.5703125" style="111" customWidth="1"/>
    <col min="15879" max="15879" width="18.7109375" style="111" customWidth="1"/>
    <col min="15880" max="15880" width="17.28515625" style="111" customWidth="1"/>
    <col min="15881" max="15881" width="4.5703125" style="111" customWidth="1"/>
    <col min="15882" max="15882" width="25.7109375" style="111" customWidth="1"/>
    <col min="15883" max="15883" width="13.28515625" style="111" customWidth="1"/>
    <col min="15884" max="15884" width="16.5703125" style="111" customWidth="1"/>
    <col min="15885" max="15886" width="9.140625" style="111"/>
    <col min="15887" max="15887" width="11.5703125" style="111" customWidth="1"/>
    <col min="15888" max="15892" width="22.5703125" style="111" customWidth="1"/>
    <col min="15893" max="16129" width="9.140625" style="111"/>
    <col min="16130" max="16130" width="13" style="111" customWidth="1"/>
    <col min="16131" max="16132" width="20.7109375" style="111" customWidth="1"/>
    <col min="16133" max="16133" width="15.5703125" style="111" customWidth="1"/>
    <col min="16134" max="16134" width="16.5703125" style="111" customWidth="1"/>
    <col min="16135" max="16135" width="18.7109375" style="111" customWidth="1"/>
    <col min="16136" max="16136" width="17.28515625" style="111" customWidth="1"/>
    <col min="16137" max="16137" width="4.5703125" style="111" customWidth="1"/>
    <col min="16138" max="16138" width="25.7109375" style="111" customWidth="1"/>
    <col min="16139" max="16139" width="13.28515625" style="111" customWidth="1"/>
    <col min="16140" max="16140" width="16.5703125" style="111" customWidth="1"/>
    <col min="16141" max="16142" width="9.140625" style="111"/>
    <col min="16143" max="16143" width="11.5703125" style="111" customWidth="1"/>
    <col min="16144" max="16148" width="22.5703125" style="111" customWidth="1"/>
    <col min="16149" max="16384" width="9.140625" style="111"/>
  </cols>
  <sheetData>
    <row r="1" spans="1:23" ht="18">
      <c r="A1" s="118" t="s">
        <v>2994</v>
      </c>
      <c r="C1" s="118" t="s">
        <v>2997</v>
      </c>
    </row>
    <row r="2" spans="1:23" ht="18">
      <c r="A2" s="118" t="s">
        <v>2995</v>
      </c>
      <c r="B2" s="123"/>
      <c r="C2" s="233">
        <v>42094</v>
      </c>
      <c r="D2" s="111"/>
      <c r="E2" s="111"/>
      <c r="F2" s="124"/>
      <c r="G2" s="125"/>
      <c r="H2" s="164"/>
      <c r="I2" s="111"/>
      <c r="J2" s="123"/>
      <c r="M2" s="111"/>
    </row>
    <row r="3" spans="1:23" ht="18">
      <c r="A3" s="118" t="s">
        <v>2996</v>
      </c>
      <c r="B3" s="132"/>
      <c r="C3" s="234" t="s">
        <v>2992</v>
      </c>
      <c r="D3" s="127"/>
      <c r="E3" s="127"/>
      <c r="F3" s="134"/>
      <c r="G3" s="134"/>
      <c r="H3" s="166"/>
      <c r="I3" s="127"/>
      <c r="J3" s="132"/>
      <c r="K3" s="131"/>
    </row>
    <row r="4" spans="1:23">
      <c r="A4" s="208"/>
      <c r="B4" s="132"/>
      <c r="C4" s="132"/>
      <c r="D4" s="127"/>
      <c r="E4" s="127"/>
      <c r="F4" s="134"/>
      <c r="G4" s="134"/>
      <c r="H4" s="166"/>
      <c r="I4" s="127"/>
      <c r="J4" s="132"/>
      <c r="K4" s="131"/>
    </row>
    <row r="5" spans="1:23">
      <c r="A5" s="202" t="s">
        <v>2958</v>
      </c>
      <c r="B5" s="203" t="s">
        <v>2957</v>
      </c>
      <c r="C5" s="204"/>
      <c r="D5" s="205"/>
      <c r="E5" s="205"/>
      <c r="F5" s="202"/>
      <c r="G5" s="203"/>
      <c r="H5" s="206"/>
      <c r="I5" s="202"/>
      <c r="J5" s="203"/>
      <c r="K5" s="207"/>
      <c r="L5" s="127"/>
      <c r="M5" s="230" t="s">
        <v>2990</v>
      </c>
      <c r="N5" s="231"/>
      <c r="O5" s="231"/>
      <c r="P5" s="231"/>
      <c r="Q5" s="231"/>
      <c r="R5" s="231"/>
      <c r="S5" s="231"/>
      <c r="T5" s="232"/>
    </row>
    <row r="6" spans="1:23" ht="25.5">
      <c r="A6" s="216" t="s">
        <v>2985</v>
      </c>
      <c r="B6" s="129" t="s">
        <v>55</v>
      </c>
      <c r="C6" s="129" t="s">
        <v>56</v>
      </c>
      <c r="D6" s="214" t="s">
        <v>2974</v>
      </c>
      <c r="E6" s="214" t="s">
        <v>2975</v>
      </c>
      <c r="F6" s="215" t="s">
        <v>2979</v>
      </c>
      <c r="G6" s="215" t="s">
        <v>2980</v>
      </c>
      <c r="H6" s="165"/>
      <c r="I6" s="216" t="s">
        <v>2982</v>
      </c>
      <c r="J6" s="216" t="s">
        <v>2984</v>
      </c>
      <c r="K6" s="215" t="s">
        <v>2983</v>
      </c>
      <c r="L6" s="127"/>
      <c r="M6" s="227" t="s">
        <v>2991</v>
      </c>
      <c r="N6" s="228" t="s">
        <v>52</v>
      </c>
      <c r="O6" s="228" t="s">
        <v>53</v>
      </c>
      <c r="P6" s="228" t="s">
        <v>54</v>
      </c>
      <c r="Q6" s="228" t="s">
        <v>2998</v>
      </c>
      <c r="R6" s="228" t="s">
        <v>2999</v>
      </c>
      <c r="S6" s="229" t="s">
        <v>2986</v>
      </c>
      <c r="T6" s="229" t="s">
        <v>2987</v>
      </c>
    </row>
    <row r="7" spans="1:23">
      <c r="B7" s="123"/>
      <c r="C7" s="123"/>
      <c r="D7" s="111"/>
      <c r="E7" s="111"/>
      <c r="F7" s="124"/>
      <c r="G7" s="124"/>
      <c r="H7" s="164"/>
      <c r="I7" s="111"/>
      <c r="J7" s="123"/>
      <c r="L7" s="127"/>
      <c r="M7" s="169" t="str">
        <f>B5</f>
        <v>A001</v>
      </c>
      <c r="N7" s="226">
        <f>I8</f>
        <v>1.1569736648232175E-3</v>
      </c>
      <c r="O7" s="226">
        <f>I9</f>
        <v>5.3005856434464873E-4</v>
      </c>
      <c r="P7" s="226">
        <f>I10</f>
        <v>1.215402675755221E-6</v>
      </c>
      <c r="Q7" s="241">
        <f>$C$2</f>
        <v>42094</v>
      </c>
      <c r="R7" s="242" t="str">
        <f>$C$3</f>
        <v>TB115090</v>
      </c>
      <c r="S7" s="218">
        <v>-3.8569580883862642E-4</v>
      </c>
      <c r="T7" s="218">
        <v>2.9249809639112276E-4</v>
      </c>
    </row>
    <row r="8" spans="1:23">
      <c r="A8" s="176">
        <v>1</v>
      </c>
      <c r="B8" s="178">
        <v>42094.409837962965</v>
      </c>
      <c r="C8" s="178">
        <v>42094.420497685183</v>
      </c>
      <c r="D8" s="179">
        <v>1.0067833333333334</v>
      </c>
      <c r="E8" s="179">
        <v>2.6939459223912325E-3</v>
      </c>
      <c r="F8" s="180">
        <v>30972.804001250341</v>
      </c>
      <c r="G8" s="180">
        <v>5.1178347372796512E-11</v>
      </c>
      <c r="H8" s="181" t="s">
        <v>2968</v>
      </c>
      <c r="I8" s="217">
        <v>1.1569736648232175E-3</v>
      </c>
      <c r="J8" s="182">
        <v>1.0069791409430877</v>
      </c>
      <c r="K8" s="183">
        <v>-1.9580760975435041E-4</v>
      </c>
      <c r="L8" s="127"/>
      <c r="M8" s="169">
        <f>B20</f>
        <v>0</v>
      </c>
      <c r="N8" s="226">
        <f>I23</f>
        <v>0</v>
      </c>
      <c r="O8" s="226">
        <f>I24</f>
        <v>0</v>
      </c>
      <c r="P8" s="226">
        <f>I25</f>
        <v>0</v>
      </c>
      <c r="Q8" s="241">
        <f t="shared" ref="Q8:Q16" si="0">$C$2</f>
        <v>42094</v>
      </c>
      <c r="R8" s="242" t="str">
        <f t="shared" ref="R8:R16" si="1">$C$3</f>
        <v>TB115090</v>
      </c>
      <c r="S8" s="168"/>
      <c r="T8" s="168"/>
    </row>
    <row r="9" spans="1:23">
      <c r="A9" s="176">
        <v>2</v>
      </c>
      <c r="B9" s="178">
        <v>42094.447581018518</v>
      </c>
      <c r="C9" s="178">
        <v>42094.458240740743</v>
      </c>
      <c r="D9" s="179">
        <v>2.0055833333333331</v>
      </c>
      <c r="E9" s="179">
        <v>9.4405663911283869E-4</v>
      </c>
      <c r="F9" s="180">
        <v>29447.041624023332</v>
      </c>
      <c r="G9" s="180">
        <v>1.1255833336372409</v>
      </c>
      <c r="H9" s="181" t="s">
        <v>2969</v>
      </c>
      <c r="I9" s="217">
        <v>5.3005856434464873E-4</v>
      </c>
      <c r="J9" s="182">
        <v>2.0053255184923273</v>
      </c>
      <c r="K9" s="183">
        <v>2.5781484100573238E-4</v>
      </c>
      <c r="L9" s="127"/>
      <c r="M9" s="169">
        <f>B35</f>
        <v>0</v>
      </c>
      <c r="N9" s="226">
        <f>I38</f>
        <v>0</v>
      </c>
      <c r="O9" s="226">
        <f>I39</f>
        <v>0</v>
      </c>
      <c r="P9" s="226">
        <f>I40</f>
        <v>0</v>
      </c>
      <c r="Q9" s="241">
        <f t="shared" si="0"/>
        <v>42094</v>
      </c>
      <c r="R9" s="242" t="str">
        <f t="shared" si="1"/>
        <v>TB115090</v>
      </c>
      <c r="S9" s="168"/>
      <c r="T9" s="168"/>
    </row>
    <row r="10" spans="1:23">
      <c r="A10" s="176">
        <v>3</v>
      </c>
      <c r="B10" s="178">
        <v>42094.485150462962</v>
      </c>
      <c r="C10" s="178">
        <v>42094.495844907404</v>
      </c>
      <c r="D10" s="179">
        <v>3.0063833333333343</v>
      </c>
      <c r="E10" s="179">
        <v>7.6116918689186149E-4</v>
      </c>
      <c r="F10" s="180">
        <v>28001.406645007701</v>
      </c>
      <c r="G10" s="180">
        <v>1.0356758854202397</v>
      </c>
      <c r="H10" s="181" t="s">
        <v>2970</v>
      </c>
      <c r="I10" s="217">
        <v>1.215402675755221E-6</v>
      </c>
      <c r="J10" s="182">
        <v>3.0062355720217511</v>
      </c>
      <c r="K10" s="183">
        <v>1.4776131158322769E-4</v>
      </c>
      <c r="L10" s="127"/>
      <c r="M10" s="169">
        <f>B50</f>
        <v>0</v>
      </c>
      <c r="N10" s="226">
        <f>I53</f>
        <v>0</v>
      </c>
      <c r="O10" s="226">
        <f>I54</f>
        <v>0</v>
      </c>
      <c r="P10" s="226">
        <f>I55</f>
        <v>0</v>
      </c>
      <c r="Q10" s="241">
        <f t="shared" si="0"/>
        <v>42094</v>
      </c>
      <c r="R10" s="242" t="str">
        <f t="shared" si="1"/>
        <v>TB115090</v>
      </c>
      <c r="S10" s="168"/>
      <c r="T10" s="168"/>
    </row>
    <row r="11" spans="1:23">
      <c r="A11" s="176">
        <v>4</v>
      </c>
      <c r="B11" s="178">
        <v>42094.522928240738</v>
      </c>
      <c r="C11" s="178">
        <v>42094.533622685187</v>
      </c>
      <c r="D11" s="179">
        <v>4.0062666666666678</v>
      </c>
      <c r="E11" s="179">
        <v>6.6042273741156066E-4</v>
      </c>
      <c r="F11" s="180">
        <v>26635.515861853812</v>
      </c>
      <c r="G11" s="180">
        <v>0.98077205909114229</v>
      </c>
      <c r="H11" s="184"/>
      <c r="I11" s="185"/>
      <c r="J11" s="182">
        <v>4.0066523624755064</v>
      </c>
      <c r="K11" s="183">
        <v>-3.8569580883862642E-4</v>
      </c>
      <c r="L11" s="127"/>
      <c r="M11" s="169">
        <f>B65</f>
        <v>0</v>
      </c>
      <c r="N11" s="226">
        <f>I68</f>
        <v>0</v>
      </c>
      <c r="O11" s="226">
        <f>I69</f>
        <v>0</v>
      </c>
      <c r="P11" s="226">
        <f>I70</f>
        <v>0</v>
      </c>
      <c r="Q11" s="241">
        <f t="shared" si="0"/>
        <v>42094</v>
      </c>
      <c r="R11" s="242" t="str">
        <f t="shared" si="1"/>
        <v>TB115090</v>
      </c>
      <c r="S11" s="168"/>
      <c r="T11" s="168"/>
    </row>
    <row r="12" spans="1:23">
      <c r="A12" s="176">
        <v>5</v>
      </c>
      <c r="B12" s="178">
        <v>42094.560706018521</v>
      </c>
      <c r="C12" s="178">
        <v>42094.571412037039</v>
      </c>
      <c r="D12" s="179">
        <v>5.0064166666666665</v>
      </c>
      <c r="E12" s="179">
        <v>7.1997332028394319E-4</v>
      </c>
      <c r="F12" s="180">
        <v>25344.683883475875</v>
      </c>
      <c r="G12" s="180">
        <v>1.0252685933288235</v>
      </c>
      <c r="H12" s="184"/>
      <c r="I12" s="185"/>
      <c r="J12" s="182">
        <v>5.0064489679691064</v>
      </c>
      <c r="K12" s="183">
        <v>-3.23013024399188E-5</v>
      </c>
      <c r="L12" s="127"/>
      <c r="M12" s="169">
        <f>B80</f>
        <v>0</v>
      </c>
      <c r="N12" s="226">
        <f>I83</f>
        <v>0</v>
      </c>
      <c r="O12" s="226">
        <f>I84</f>
        <v>0</v>
      </c>
      <c r="P12" s="226">
        <f>I85</f>
        <v>0</v>
      </c>
      <c r="Q12" s="241">
        <f t="shared" si="0"/>
        <v>42094</v>
      </c>
      <c r="R12" s="242" t="str">
        <f t="shared" si="1"/>
        <v>TB115090</v>
      </c>
      <c r="S12" s="168"/>
      <c r="T12" s="168"/>
    </row>
    <row r="13" spans="1:23">
      <c r="A13" s="176">
        <v>6</v>
      </c>
      <c r="B13" s="178">
        <v>42094.598668981482</v>
      </c>
      <c r="C13" s="178">
        <v>42094.609386574077</v>
      </c>
      <c r="D13" s="179">
        <v>6.0069000000000017</v>
      </c>
      <c r="E13" s="179">
        <v>6.0225564705251432E-4</v>
      </c>
      <c r="F13" s="180">
        <v>24123.147622533408</v>
      </c>
      <c r="G13" s="180">
        <v>0.7919864791271134</v>
      </c>
      <c r="H13" s="184"/>
      <c r="I13" s="185"/>
      <c r="J13" s="182">
        <v>6.0066460544892379</v>
      </c>
      <c r="K13" s="183">
        <v>2.5394551076374228E-4</v>
      </c>
      <c r="L13" s="127"/>
      <c r="M13" s="169">
        <f>B95</f>
        <v>0</v>
      </c>
      <c r="N13" s="226">
        <f>I98</f>
        <v>0</v>
      </c>
      <c r="O13" s="226">
        <f>I99</f>
        <v>0</v>
      </c>
      <c r="P13" s="226">
        <f>I100</f>
        <v>0</v>
      </c>
      <c r="Q13" s="241">
        <f t="shared" si="0"/>
        <v>42094</v>
      </c>
      <c r="R13" s="242" t="str">
        <f t="shared" si="1"/>
        <v>TB115090</v>
      </c>
      <c r="S13" s="168"/>
      <c r="T13" s="168"/>
    </row>
    <row r="14" spans="1:23">
      <c r="A14" s="176">
        <v>7</v>
      </c>
      <c r="B14" s="178">
        <v>42094.636458333334</v>
      </c>
      <c r="C14" s="178">
        <v>42094.647210648145</v>
      </c>
      <c r="D14" s="179">
        <v>7.0067666666666666</v>
      </c>
      <c r="E14" s="179">
        <v>5.9280049711376518E-4</v>
      </c>
      <c r="F14" s="180">
        <v>22967.347281648705</v>
      </c>
      <c r="G14" s="180">
        <v>1.2355056190156652</v>
      </c>
      <c r="H14" s="184"/>
      <c r="I14" s="185"/>
      <c r="J14" s="182">
        <v>7.0068025146032369</v>
      </c>
      <c r="K14" s="183">
        <v>-3.5847936570299055E-5</v>
      </c>
      <c r="L14" s="127"/>
      <c r="M14" s="169">
        <f>B110</f>
        <v>0</v>
      </c>
      <c r="N14" s="226">
        <f>I113</f>
        <v>0</v>
      </c>
      <c r="O14" s="226">
        <f>I114</f>
        <v>0</v>
      </c>
      <c r="P14" s="226">
        <f>I115</f>
        <v>0</v>
      </c>
      <c r="Q14" s="241">
        <f t="shared" si="0"/>
        <v>42094</v>
      </c>
      <c r="R14" s="242" t="str">
        <f t="shared" si="1"/>
        <v>TB115090</v>
      </c>
      <c r="S14" s="168"/>
      <c r="T14" s="168"/>
    </row>
    <row r="15" spans="1:23" s="127" customFormat="1">
      <c r="A15" s="176"/>
      <c r="B15" s="178"/>
      <c r="C15" s="178"/>
      <c r="D15" s="179"/>
      <c r="E15" s="179"/>
      <c r="F15" s="180"/>
      <c r="G15" s="180"/>
      <c r="H15" s="189"/>
      <c r="I15" s="220" t="s">
        <v>2988</v>
      </c>
      <c r="J15" s="221">
        <v>-3.8569580883862642E-4</v>
      </c>
      <c r="K15" s="185"/>
      <c r="M15" s="169">
        <f>B125</f>
        <v>0</v>
      </c>
      <c r="N15" s="226">
        <f>I128</f>
        <v>0</v>
      </c>
      <c r="O15" s="226">
        <f>I129</f>
        <v>0</v>
      </c>
      <c r="P15" s="226">
        <f>I130</f>
        <v>0</v>
      </c>
      <c r="Q15" s="241">
        <f t="shared" si="0"/>
        <v>42094</v>
      </c>
      <c r="R15" s="242" t="str">
        <f t="shared" si="1"/>
        <v>TB115090</v>
      </c>
      <c r="S15" s="171"/>
      <c r="T15" s="171"/>
      <c r="U15" s="111"/>
      <c r="V15" s="111"/>
      <c r="W15" s="111"/>
    </row>
    <row r="16" spans="1:23">
      <c r="A16" s="174"/>
      <c r="B16" s="172"/>
      <c r="C16" s="224"/>
      <c r="D16" s="225"/>
      <c r="E16" s="225"/>
      <c r="F16" s="180"/>
      <c r="G16" s="180"/>
      <c r="H16" s="194"/>
      <c r="I16" s="222" t="s">
        <v>2989</v>
      </c>
      <c r="J16" s="221">
        <v>2.9249809639112276E-4</v>
      </c>
      <c r="K16" s="183"/>
      <c r="L16" s="127"/>
      <c r="M16" s="169">
        <f>B140</f>
        <v>0</v>
      </c>
      <c r="N16" s="226">
        <f>I143</f>
        <v>0</v>
      </c>
      <c r="O16" s="226">
        <f>I144</f>
        <v>0</v>
      </c>
      <c r="P16" s="226">
        <f>I145</f>
        <v>0</v>
      </c>
      <c r="Q16" s="241">
        <f t="shared" si="0"/>
        <v>42094</v>
      </c>
      <c r="R16" s="242" t="str">
        <f t="shared" si="1"/>
        <v>TB115090</v>
      </c>
      <c r="S16" s="171"/>
      <c r="T16" s="171"/>
    </row>
    <row r="17" spans="1:23" s="127" customFormat="1">
      <c r="A17" s="190"/>
      <c r="B17" s="195"/>
      <c r="C17" s="196"/>
      <c r="D17" s="197"/>
      <c r="E17" s="197"/>
      <c r="F17" s="198"/>
      <c r="G17" s="198"/>
      <c r="H17" s="199"/>
      <c r="I17" s="222"/>
      <c r="J17" s="221"/>
      <c r="K17" s="185"/>
      <c r="M17" s="132"/>
      <c r="N17" s="111"/>
      <c r="O17" s="111"/>
      <c r="P17" s="111"/>
      <c r="Q17" s="111"/>
      <c r="R17" s="111"/>
      <c r="S17" s="116"/>
      <c r="T17" s="116"/>
      <c r="U17" s="111"/>
      <c r="V17" s="111"/>
      <c r="W17" s="111"/>
    </row>
    <row r="18" spans="1:23">
      <c r="A18" s="170"/>
      <c r="B18" s="200"/>
      <c r="C18" s="200"/>
      <c r="D18" s="170"/>
      <c r="E18" s="170"/>
      <c r="F18" s="201"/>
      <c r="G18" s="201"/>
      <c r="H18" s="184"/>
      <c r="I18" s="223"/>
      <c r="J18" s="221"/>
      <c r="K18" s="183"/>
      <c r="L18" s="127"/>
      <c r="M18" s="230" t="s">
        <v>57</v>
      </c>
      <c r="N18" s="231"/>
      <c r="O18" s="231"/>
      <c r="P18" s="231"/>
      <c r="Q18" s="231"/>
      <c r="R18" s="231"/>
      <c r="S18" s="231"/>
      <c r="T18" s="232"/>
      <c r="W18" s="127"/>
    </row>
    <row r="19" spans="1:23" ht="25.5">
      <c r="A19" s="209"/>
      <c r="B19" s="210"/>
      <c r="C19" s="210"/>
      <c r="D19" s="209"/>
      <c r="E19" s="209"/>
      <c r="F19" s="211"/>
      <c r="G19" s="211"/>
      <c r="H19" s="212"/>
      <c r="I19" s="209"/>
      <c r="J19" s="219"/>
      <c r="K19" s="213"/>
      <c r="L19" s="127"/>
      <c r="M19" s="227"/>
      <c r="N19" s="228" t="s">
        <v>52</v>
      </c>
      <c r="O19" s="228" t="s">
        <v>53</v>
      </c>
      <c r="P19" s="228" t="s">
        <v>54</v>
      </c>
      <c r="Q19" s="228"/>
      <c r="R19" s="228"/>
      <c r="S19" s="229" t="s">
        <v>2986</v>
      </c>
      <c r="T19" s="229" t="s">
        <v>2987</v>
      </c>
      <c r="W19" s="127"/>
    </row>
    <row r="20" spans="1:23">
      <c r="A20" s="202" t="s">
        <v>2958</v>
      </c>
      <c r="B20" s="203"/>
      <c r="C20" s="204"/>
      <c r="D20" s="205"/>
      <c r="E20" s="205"/>
      <c r="F20" s="202"/>
      <c r="G20" s="203"/>
      <c r="H20" s="206"/>
      <c r="I20" s="202"/>
      <c r="J20" s="203"/>
      <c r="K20" s="207"/>
      <c r="M20" s="169"/>
      <c r="N20" s="226"/>
      <c r="O20" s="226"/>
      <c r="P20" s="226"/>
      <c r="Q20" s="226"/>
      <c r="R20" s="226"/>
      <c r="S20" s="218"/>
      <c r="T20" s="218"/>
    </row>
    <row r="21" spans="1:23" ht="25.5">
      <c r="A21" s="216" t="s">
        <v>2985</v>
      </c>
      <c r="B21" s="129" t="s">
        <v>55</v>
      </c>
      <c r="C21" s="129" t="s">
        <v>56</v>
      </c>
      <c r="D21" s="214" t="s">
        <v>2974</v>
      </c>
      <c r="E21" s="214" t="s">
        <v>2975</v>
      </c>
      <c r="F21" s="215" t="s">
        <v>2979</v>
      </c>
      <c r="G21" s="215" t="s">
        <v>2980</v>
      </c>
      <c r="H21" s="165"/>
      <c r="I21" s="216" t="s">
        <v>2982</v>
      </c>
      <c r="J21" s="216" t="s">
        <v>2984</v>
      </c>
      <c r="K21" s="215" t="s">
        <v>2983</v>
      </c>
      <c r="M21" s="169"/>
      <c r="N21" s="226"/>
      <c r="O21" s="226"/>
      <c r="P21" s="226"/>
      <c r="Q21" s="226"/>
      <c r="R21" s="226"/>
      <c r="S21" s="168"/>
      <c r="T21" s="168"/>
    </row>
    <row r="22" spans="1:23">
      <c r="B22" s="123"/>
      <c r="C22" s="123"/>
      <c r="D22" s="111"/>
      <c r="E22" s="111"/>
      <c r="F22" s="124"/>
      <c r="G22" s="124"/>
      <c r="H22" s="164"/>
      <c r="I22" s="111"/>
      <c r="J22" s="123"/>
      <c r="M22" s="169"/>
      <c r="N22" s="226"/>
      <c r="O22" s="226"/>
      <c r="P22" s="226"/>
      <c r="Q22" s="226"/>
      <c r="R22" s="226"/>
      <c r="S22" s="168"/>
      <c r="T22" s="168"/>
    </row>
    <row r="23" spans="1:23">
      <c r="A23" s="176">
        <v>1</v>
      </c>
      <c r="B23" s="178">
        <v>42094.409837962965</v>
      </c>
      <c r="C23" s="178">
        <v>42094.420497685183</v>
      </c>
      <c r="D23" s="179">
        <v>1.0067833333333334</v>
      </c>
      <c r="E23" s="179">
        <v>2.6939459223912325E-3</v>
      </c>
      <c r="F23" s="180"/>
      <c r="G23" s="180"/>
      <c r="H23" s="181"/>
      <c r="I23" s="217"/>
      <c r="J23" s="182"/>
      <c r="K23" s="183"/>
      <c r="L23" s="127"/>
      <c r="M23" s="169"/>
      <c r="N23" s="226"/>
      <c r="O23" s="226"/>
      <c r="P23" s="226"/>
      <c r="Q23" s="226"/>
      <c r="R23" s="226"/>
      <c r="S23" s="168"/>
      <c r="T23" s="168"/>
    </row>
    <row r="24" spans="1:23">
      <c r="A24" s="176">
        <v>2</v>
      </c>
      <c r="B24" s="178">
        <v>42094.447581018518</v>
      </c>
      <c r="C24" s="178">
        <v>42094.458240740743</v>
      </c>
      <c r="D24" s="179">
        <v>2.0055833333333331</v>
      </c>
      <c r="E24" s="179">
        <v>9.4405663911283869E-4</v>
      </c>
      <c r="F24" s="180"/>
      <c r="G24" s="180"/>
      <c r="H24" s="181"/>
      <c r="I24" s="217"/>
      <c r="J24" s="182"/>
      <c r="K24" s="183"/>
      <c r="L24" s="127"/>
      <c r="M24" s="169"/>
      <c r="N24" s="226"/>
      <c r="O24" s="226"/>
      <c r="P24" s="226"/>
      <c r="Q24" s="226"/>
      <c r="R24" s="226"/>
      <c r="S24" s="168"/>
      <c r="T24" s="168"/>
    </row>
    <row r="25" spans="1:23">
      <c r="A25" s="176">
        <v>3</v>
      </c>
      <c r="B25" s="178">
        <v>42094.485150462962</v>
      </c>
      <c r="C25" s="178">
        <v>42094.495844907404</v>
      </c>
      <c r="D25" s="179">
        <v>3.0063833333333343</v>
      </c>
      <c r="E25" s="179">
        <v>7.6116918689186149E-4</v>
      </c>
      <c r="F25" s="180"/>
      <c r="G25" s="180"/>
      <c r="H25" s="181"/>
      <c r="I25" s="217"/>
      <c r="J25" s="182"/>
      <c r="K25" s="183"/>
      <c r="L25" s="127"/>
      <c r="M25" s="169"/>
      <c r="N25" s="226"/>
      <c r="O25" s="226"/>
      <c r="P25" s="226"/>
      <c r="Q25" s="226"/>
      <c r="R25" s="226"/>
      <c r="S25" s="168"/>
      <c r="T25" s="168"/>
    </row>
    <row r="26" spans="1:23">
      <c r="A26" s="176">
        <v>4</v>
      </c>
      <c r="B26" s="178">
        <v>42094.522928240738</v>
      </c>
      <c r="C26" s="178">
        <v>42094.533622685187</v>
      </c>
      <c r="D26" s="179">
        <v>4.0062666666666678</v>
      </c>
      <c r="E26" s="179">
        <v>6.6042273741156066E-4</v>
      </c>
      <c r="F26" s="180"/>
      <c r="G26" s="180"/>
      <c r="H26" s="184"/>
      <c r="I26" s="185"/>
      <c r="J26" s="182"/>
      <c r="K26" s="183"/>
      <c r="L26" s="127"/>
      <c r="M26" s="169"/>
      <c r="N26" s="226"/>
      <c r="O26" s="226"/>
      <c r="P26" s="226"/>
      <c r="Q26" s="226"/>
      <c r="R26" s="226"/>
      <c r="S26" s="168"/>
      <c r="T26" s="168"/>
    </row>
    <row r="27" spans="1:23">
      <c r="A27" s="176">
        <v>5</v>
      </c>
      <c r="B27" s="178">
        <v>42094.560706018521</v>
      </c>
      <c r="C27" s="178">
        <v>42094.571412037039</v>
      </c>
      <c r="D27" s="179">
        <v>5.0064166666666665</v>
      </c>
      <c r="E27" s="179">
        <v>7.1997332028394319E-4</v>
      </c>
      <c r="F27" s="180"/>
      <c r="G27" s="180"/>
      <c r="H27" s="184"/>
      <c r="I27" s="185"/>
      <c r="J27" s="182"/>
      <c r="K27" s="183"/>
      <c r="L27" s="127"/>
      <c r="M27" s="169"/>
      <c r="N27" s="226"/>
      <c r="O27" s="226"/>
      <c r="P27" s="226"/>
      <c r="Q27" s="226"/>
      <c r="R27" s="226"/>
      <c r="S27" s="168"/>
      <c r="T27" s="168"/>
    </row>
    <row r="28" spans="1:23">
      <c r="A28" s="176">
        <v>6</v>
      </c>
      <c r="B28" s="178">
        <v>42094.598668981482</v>
      </c>
      <c r="C28" s="178">
        <v>42094.609386574077</v>
      </c>
      <c r="D28" s="179">
        <v>6.0069000000000017</v>
      </c>
      <c r="E28" s="179">
        <v>6.0225564705251432E-4</v>
      </c>
      <c r="F28" s="180"/>
      <c r="G28" s="180"/>
      <c r="H28" s="184"/>
      <c r="I28" s="185"/>
      <c r="J28" s="182"/>
      <c r="K28" s="183"/>
      <c r="L28" s="127"/>
      <c r="M28" s="169"/>
      <c r="N28" s="226"/>
      <c r="O28" s="226"/>
      <c r="P28" s="226"/>
      <c r="Q28" s="226"/>
      <c r="R28" s="226"/>
      <c r="S28" s="171"/>
      <c r="T28" s="171"/>
    </row>
    <row r="29" spans="1:23">
      <c r="A29" s="176">
        <v>7</v>
      </c>
      <c r="B29" s="178">
        <v>42094.636458333334</v>
      </c>
      <c r="C29" s="178">
        <v>42094.647210648145</v>
      </c>
      <c r="D29" s="179">
        <v>7.0067666666666666</v>
      </c>
      <c r="E29" s="179">
        <v>5.9280049711376518E-4</v>
      </c>
      <c r="F29" s="180"/>
      <c r="G29" s="180"/>
      <c r="H29" s="184"/>
      <c r="I29" s="185"/>
      <c r="J29" s="182"/>
      <c r="K29" s="183"/>
      <c r="L29" s="127"/>
      <c r="M29" s="169"/>
      <c r="N29" s="226"/>
      <c r="O29" s="226"/>
      <c r="P29" s="226"/>
      <c r="Q29" s="226"/>
      <c r="R29" s="226"/>
      <c r="S29" s="171"/>
      <c r="T29" s="171"/>
    </row>
    <row r="30" spans="1:23" s="127" customFormat="1">
      <c r="A30" s="176"/>
      <c r="B30" s="178"/>
      <c r="C30" s="178"/>
      <c r="D30" s="179"/>
      <c r="E30" s="179"/>
      <c r="F30" s="180"/>
      <c r="G30" s="180"/>
      <c r="H30" s="189"/>
      <c r="I30" s="220"/>
      <c r="J30" s="221"/>
      <c r="K30" s="185"/>
      <c r="M30" s="161"/>
      <c r="O30" s="162"/>
      <c r="S30" s="162"/>
    </row>
    <row r="31" spans="1:23">
      <c r="A31" s="174"/>
      <c r="B31" s="172"/>
      <c r="C31" s="224"/>
      <c r="D31" s="225"/>
      <c r="E31" s="225"/>
      <c r="F31" s="180"/>
      <c r="G31" s="180"/>
      <c r="H31" s="194"/>
      <c r="I31" s="222"/>
      <c r="J31" s="221"/>
      <c r="K31" s="183"/>
      <c r="L31" s="127"/>
      <c r="M31" s="126"/>
      <c r="O31" s="128"/>
      <c r="S31" s="128"/>
    </row>
    <row r="32" spans="1:23">
      <c r="A32" s="190"/>
      <c r="B32" s="195"/>
      <c r="C32" s="196"/>
      <c r="D32" s="197"/>
      <c r="E32" s="197"/>
      <c r="F32" s="198"/>
      <c r="G32" s="198"/>
      <c r="H32" s="199"/>
      <c r="I32" s="222"/>
      <c r="J32" s="221"/>
      <c r="K32" s="185"/>
      <c r="L32" s="127"/>
      <c r="M32" s="126"/>
      <c r="O32" s="128"/>
      <c r="S32" s="128"/>
    </row>
    <row r="33" spans="1:24">
      <c r="A33" s="170"/>
      <c r="B33" s="200"/>
      <c r="C33" s="200"/>
      <c r="D33" s="170"/>
      <c r="E33" s="170"/>
      <c r="F33" s="201"/>
      <c r="G33" s="201"/>
      <c r="H33" s="184"/>
      <c r="I33" s="223"/>
      <c r="J33" s="221"/>
      <c r="K33" s="183"/>
      <c r="M33" s="126"/>
      <c r="O33" s="128"/>
      <c r="S33" s="128"/>
    </row>
    <row r="34" spans="1:24">
      <c r="A34" s="126"/>
      <c r="B34" s="123"/>
      <c r="C34" s="123"/>
      <c r="D34" s="111"/>
      <c r="E34" s="111"/>
      <c r="F34" s="126"/>
      <c r="G34" s="124"/>
      <c r="H34" s="164"/>
      <c r="I34" s="126"/>
      <c r="J34" s="123"/>
      <c r="N34" s="133"/>
      <c r="W34" s="127"/>
    </row>
    <row r="35" spans="1:24">
      <c r="A35" s="202" t="s">
        <v>2958</v>
      </c>
      <c r="B35" s="203"/>
      <c r="C35" s="204"/>
      <c r="D35" s="205"/>
      <c r="E35" s="205"/>
      <c r="F35" s="202"/>
      <c r="G35" s="203"/>
      <c r="H35" s="206"/>
      <c r="I35" s="202"/>
      <c r="J35" s="203"/>
      <c r="K35" s="207"/>
      <c r="M35" s="126"/>
      <c r="N35" s="133"/>
      <c r="O35" s="128"/>
      <c r="P35" s="133"/>
      <c r="Q35" s="133"/>
      <c r="R35" s="133"/>
      <c r="S35" s="128"/>
      <c r="T35" s="133"/>
    </row>
    <row r="36" spans="1:24" ht="25.5">
      <c r="A36" s="216" t="s">
        <v>2985</v>
      </c>
      <c r="B36" s="129" t="s">
        <v>55</v>
      </c>
      <c r="C36" s="129" t="s">
        <v>56</v>
      </c>
      <c r="D36" s="214" t="s">
        <v>2974</v>
      </c>
      <c r="E36" s="214" t="s">
        <v>2975</v>
      </c>
      <c r="F36" s="215" t="s">
        <v>2979</v>
      </c>
      <c r="G36" s="215" t="s">
        <v>2980</v>
      </c>
      <c r="H36" s="165"/>
      <c r="I36" s="216" t="s">
        <v>2982</v>
      </c>
      <c r="J36" s="216" t="s">
        <v>2984</v>
      </c>
      <c r="K36" s="215" t="s">
        <v>2983</v>
      </c>
      <c r="M36" s="126"/>
      <c r="N36" s="133"/>
      <c r="O36" s="128"/>
      <c r="P36" s="133"/>
      <c r="Q36" s="133"/>
      <c r="R36" s="133"/>
      <c r="S36" s="128"/>
      <c r="T36" s="133"/>
    </row>
    <row r="37" spans="1:24">
      <c r="B37" s="123"/>
      <c r="C37" s="123"/>
      <c r="D37" s="111"/>
      <c r="E37" s="111"/>
      <c r="F37" s="124"/>
      <c r="G37" s="124"/>
      <c r="H37" s="164"/>
      <c r="I37" s="111"/>
      <c r="J37" s="123"/>
      <c r="N37" s="119"/>
      <c r="P37" s="119"/>
      <c r="Q37" s="119"/>
      <c r="R37" s="119"/>
      <c r="T37" s="119"/>
    </row>
    <row r="38" spans="1:24">
      <c r="A38" s="176">
        <v>1</v>
      </c>
      <c r="B38" s="178">
        <v>42094.409837962965</v>
      </c>
      <c r="C38" s="178">
        <v>42094.420497685183</v>
      </c>
      <c r="D38" s="179">
        <v>1.0067833333333334</v>
      </c>
      <c r="E38" s="179">
        <v>2.6939459223912325E-3</v>
      </c>
      <c r="F38" s="180"/>
      <c r="G38" s="180"/>
      <c r="H38" s="181"/>
      <c r="I38" s="217"/>
      <c r="J38" s="182"/>
      <c r="K38" s="183"/>
      <c r="N38" s="119"/>
      <c r="P38" s="133"/>
      <c r="Q38" s="133"/>
      <c r="R38" s="133"/>
    </row>
    <row r="39" spans="1:24">
      <c r="A39" s="176">
        <v>2</v>
      </c>
      <c r="B39" s="178">
        <v>42094.447581018518</v>
      </c>
      <c r="C39" s="178">
        <v>42094.458240740743</v>
      </c>
      <c r="D39" s="179">
        <v>2.0055833333333331</v>
      </c>
      <c r="E39" s="179">
        <v>9.4405663911283869E-4</v>
      </c>
      <c r="F39" s="180"/>
      <c r="G39" s="180"/>
      <c r="H39" s="181"/>
      <c r="I39" s="217"/>
      <c r="J39" s="182"/>
      <c r="K39" s="183"/>
      <c r="N39" s="126"/>
    </row>
    <row r="40" spans="1:24">
      <c r="A40" s="176">
        <v>3</v>
      </c>
      <c r="B40" s="178">
        <v>42094.485150462962</v>
      </c>
      <c r="C40" s="178">
        <v>42094.495844907404</v>
      </c>
      <c r="D40" s="179">
        <v>3.0063833333333343</v>
      </c>
      <c r="E40" s="179">
        <v>7.6116918689186149E-4</v>
      </c>
      <c r="F40" s="180"/>
      <c r="G40" s="180"/>
      <c r="H40" s="181"/>
      <c r="I40" s="217"/>
      <c r="J40" s="182"/>
      <c r="K40" s="183"/>
      <c r="N40" s="129"/>
    </row>
    <row r="41" spans="1:24">
      <c r="A41" s="176">
        <v>4</v>
      </c>
      <c r="B41" s="178">
        <v>42094.522928240738</v>
      </c>
      <c r="C41" s="178">
        <v>42094.533622685187</v>
      </c>
      <c r="D41" s="179">
        <v>4.0062666666666678</v>
      </c>
      <c r="E41" s="179">
        <v>6.6042273741156066E-4</v>
      </c>
      <c r="F41" s="180"/>
      <c r="G41" s="180"/>
      <c r="H41" s="184"/>
      <c r="I41" s="185"/>
      <c r="J41" s="182"/>
      <c r="K41" s="183"/>
    </row>
    <row r="42" spans="1:24">
      <c r="A42" s="176">
        <v>5</v>
      </c>
      <c r="B42" s="178">
        <v>42094.560706018521</v>
      </c>
      <c r="C42" s="178">
        <v>42094.571412037039</v>
      </c>
      <c r="D42" s="179">
        <v>5.0064166666666665</v>
      </c>
      <c r="E42" s="179">
        <v>7.1997332028394319E-4</v>
      </c>
      <c r="F42" s="180"/>
      <c r="G42" s="180"/>
      <c r="H42" s="184"/>
      <c r="I42" s="185"/>
      <c r="J42" s="182"/>
      <c r="K42" s="183"/>
    </row>
    <row r="43" spans="1:24">
      <c r="A43" s="176">
        <v>6</v>
      </c>
      <c r="B43" s="178">
        <v>42094.598668981482</v>
      </c>
      <c r="C43" s="178">
        <v>42094.609386574077</v>
      </c>
      <c r="D43" s="179">
        <v>6.0069000000000017</v>
      </c>
      <c r="E43" s="179">
        <v>6.0225564705251432E-4</v>
      </c>
      <c r="F43" s="180"/>
      <c r="G43" s="180"/>
      <c r="H43" s="184"/>
      <c r="I43" s="185"/>
      <c r="J43" s="182"/>
      <c r="K43" s="183"/>
    </row>
    <row r="44" spans="1:24">
      <c r="A44" s="176">
        <v>7</v>
      </c>
      <c r="B44" s="178">
        <v>42094.636458333334</v>
      </c>
      <c r="C44" s="178">
        <v>42094.647210648145</v>
      </c>
      <c r="D44" s="179">
        <v>7.0067666666666666</v>
      </c>
      <c r="E44" s="179">
        <v>5.9280049711376518E-4</v>
      </c>
      <c r="F44" s="180"/>
      <c r="G44" s="180"/>
      <c r="H44" s="184"/>
      <c r="I44" s="185"/>
      <c r="J44" s="182"/>
      <c r="K44" s="183"/>
      <c r="T44" s="127"/>
      <c r="U44" s="127"/>
    </row>
    <row r="45" spans="1:24" s="127" customFormat="1">
      <c r="A45" s="186"/>
      <c r="B45" s="187"/>
      <c r="C45" s="187"/>
      <c r="D45" s="188"/>
      <c r="E45" s="188"/>
      <c r="F45" s="188"/>
      <c r="G45" s="188"/>
      <c r="H45" s="189"/>
      <c r="I45" s="220"/>
      <c r="J45" s="221"/>
      <c r="K45" s="185"/>
      <c r="M45" s="119"/>
      <c r="N45" s="111"/>
      <c r="O45" s="111"/>
      <c r="P45" s="111"/>
      <c r="Q45" s="111"/>
      <c r="R45" s="111"/>
      <c r="S45" s="111"/>
      <c r="T45" s="111"/>
      <c r="U45" s="111"/>
      <c r="V45" s="111"/>
      <c r="W45" s="111"/>
      <c r="X45" s="111"/>
    </row>
    <row r="46" spans="1:24">
      <c r="A46" s="170"/>
      <c r="B46" s="167"/>
      <c r="C46" s="191"/>
      <c r="D46" s="192"/>
      <c r="E46" s="192"/>
      <c r="F46" s="193"/>
      <c r="G46" s="193"/>
      <c r="H46" s="194"/>
      <c r="I46" s="222"/>
      <c r="J46" s="221"/>
      <c r="K46" s="183"/>
      <c r="X46" s="127"/>
    </row>
    <row r="47" spans="1:24">
      <c r="A47" s="190"/>
      <c r="B47" s="195"/>
      <c r="C47" s="196"/>
      <c r="D47" s="197"/>
      <c r="E47" s="197"/>
      <c r="F47" s="198"/>
      <c r="G47" s="198"/>
      <c r="H47" s="199"/>
      <c r="I47" s="222"/>
      <c r="J47" s="221"/>
      <c r="K47" s="185"/>
    </row>
    <row r="48" spans="1:24">
      <c r="A48" s="170"/>
      <c r="B48" s="200"/>
      <c r="C48" s="200"/>
      <c r="D48" s="170"/>
      <c r="E48" s="170"/>
      <c r="F48" s="201"/>
      <c r="G48" s="201"/>
      <c r="H48" s="184"/>
      <c r="I48" s="223"/>
      <c r="J48" s="221"/>
      <c r="K48" s="183"/>
    </row>
    <row r="49" spans="1:24">
      <c r="A49" s="115"/>
      <c r="B49" s="130"/>
      <c r="C49" s="130"/>
      <c r="D49" s="121"/>
      <c r="E49" s="121"/>
      <c r="H49" s="164"/>
      <c r="I49" s="111"/>
      <c r="J49" s="123"/>
      <c r="N49" s="119"/>
    </row>
    <row r="50" spans="1:24">
      <c r="A50" s="202" t="s">
        <v>2958</v>
      </c>
      <c r="B50" s="203"/>
      <c r="C50" s="204"/>
      <c r="D50" s="205"/>
      <c r="E50" s="205"/>
      <c r="F50" s="202"/>
      <c r="G50" s="203"/>
      <c r="H50" s="206"/>
      <c r="I50" s="202"/>
      <c r="J50" s="203"/>
      <c r="K50" s="207"/>
      <c r="N50" s="133"/>
      <c r="W50" s="127"/>
    </row>
    <row r="51" spans="1:24" ht="25.5">
      <c r="A51" s="216" t="s">
        <v>2985</v>
      </c>
      <c r="B51" s="129" t="s">
        <v>55</v>
      </c>
      <c r="C51" s="129" t="s">
        <v>56</v>
      </c>
      <c r="D51" s="214" t="s">
        <v>2974</v>
      </c>
      <c r="E51" s="214" t="s">
        <v>2975</v>
      </c>
      <c r="F51" s="215" t="s">
        <v>2979</v>
      </c>
      <c r="G51" s="215" t="s">
        <v>2980</v>
      </c>
      <c r="H51" s="165"/>
      <c r="I51" s="216" t="s">
        <v>2982</v>
      </c>
      <c r="J51" s="216" t="s">
        <v>2984</v>
      </c>
      <c r="K51" s="215" t="s">
        <v>2983</v>
      </c>
      <c r="N51" s="133"/>
    </row>
    <row r="52" spans="1:24">
      <c r="B52" s="123"/>
      <c r="C52" s="123"/>
      <c r="D52" s="111"/>
      <c r="E52" s="111"/>
      <c r="F52" s="124"/>
      <c r="G52" s="124"/>
      <c r="H52" s="164"/>
      <c r="I52" s="111"/>
      <c r="J52" s="123"/>
    </row>
    <row r="53" spans="1:24">
      <c r="A53" s="176">
        <v>1</v>
      </c>
      <c r="B53" s="178">
        <v>42094.409837962965</v>
      </c>
      <c r="C53" s="178">
        <v>42094.420497685183</v>
      </c>
      <c r="D53" s="179">
        <v>1.0067833333333334</v>
      </c>
      <c r="E53" s="179">
        <v>2.6939459223912325E-3</v>
      </c>
      <c r="F53" s="180"/>
      <c r="G53" s="180"/>
      <c r="H53" s="181"/>
      <c r="I53" s="217"/>
      <c r="J53" s="182"/>
      <c r="K53" s="183"/>
      <c r="N53" s="119"/>
    </row>
    <row r="54" spans="1:24">
      <c r="A54" s="176">
        <v>2</v>
      </c>
      <c r="B54" s="178">
        <v>42094.447581018518</v>
      </c>
      <c r="C54" s="178">
        <v>42094.458240740743</v>
      </c>
      <c r="D54" s="179">
        <v>2.0055833333333331</v>
      </c>
      <c r="E54" s="179">
        <v>9.4405663911283869E-4</v>
      </c>
      <c r="F54" s="180"/>
      <c r="G54" s="180"/>
      <c r="H54" s="181"/>
      <c r="I54" s="217"/>
      <c r="J54" s="182"/>
      <c r="K54" s="183"/>
      <c r="V54" s="127"/>
    </row>
    <row r="55" spans="1:24">
      <c r="A55" s="176">
        <v>3</v>
      </c>
      <c r="B55" s="178">
        <v>42094.485150462962</v>
      </c>
      <c r="C55" s="178">
        <v>42094.495844907404</v>
      </c>
      <c r="D55" s="179">
        <v>3.0063833333333343</v>
      </c>
      <c r="E55" s="179">
        <v>7.6116918689186149E-4</v>
      </c>
      <c r="F55" s="180"/>
      <c r="G55" s="180"/>
      <c r="H55" s="181"/>
      <c r="I55" s="217"/>
      <c r="J55" s="182"/>
      <c r="K55" s="183"/>
    </row>
    <row r="56" spans="1:24">
      <c r="A56" s="176">
        <v>4</v>
      </c>
      <c r="B56" s="178">
        <v>42094.522928240738</v>
      </c>
      <c r="C56" s="178">
        <v>42094.533622685187</v>
      </c>
      <c r="D56" s="179">
        <v>4.0062666666666678</v>
      </c>
      <c r="E56" s="179">
        <v>6.6042273741156066E-4</v>
      </c>
      <c r="F56" s="180"/>
      <c r="G56" s="180"/>
      <c r="H56" s="184"/>
      <c r="I56" s="185"/>
      <c r="J56" s="182"/>
      <c r="K56" s="183"/>
    </row>
    <row r="57" spans="1:24">
      <c r="A57" s="176">
        <v>5</v>
      </c>
      <c r="B57" s="178">
        <v>42094.560706018521</v>
      </c>
      <c r="C57" s="178">
        <v>42094.571412037039</v>
      </c>
      <c r="D57" s="179">
        <v>5.0064166666666665</v>
      </c>
      <c r="E57" s="179">
        <v>7.1997332028394319E-4</v>
      </c>
      <c r="F57" s="180"/>
      <c r="G57" s="180"/>
      <c r="H57" s="184"/>
      <c r="I57" s="185"/>
      <c r="J57" s="182"/>
      <c r="K57" s="183"/>
    </row>
    <row r="58" spans="1:24">
      <c r="A58" s="176">
        <v>6</v>
      </c>
      <c r="B58" s="178">
        <v>42094.598668981482</v>
      </c>
      <c r="C58" s="178">
        <v>42094.609386574077</v>
      </c>
      <c r="D58" s="179">
        <v>6.0069000000000017</v>
      </c>
      <c r="E58" s="179">
        <v>6.0225564705251432E-4</v>
      </c>
      <c r="F58" s="180"/>
      <c r="G58" s="180"/>
      <c r="H58" s="184"/>
      <c r="I58" s="185"/>
      <c r="J58" s="182"/>
      <c r="K58" s="183"/>
    </row>
    <row r="59" spans="1:24">
      <c r="A59" s="176">
        <v>7</v>
      </c>
      <c r="B59" s="178">
        <v>42094.636458333334</v>
      </c>
      <c r="C59" s="178">
        <v>42094.647210648145</v>
      </c>
      <c r="D59" s="179">
        <v>7.0067666666666666</v>
      </c>
      <c r="E59" s="179">
        <v>5.9280049711376518E-4</v>
      </c>
      <c r="F59" s="180"/>
      <c r="G59" s="180"/>
      <c r="H59" s="184"/>
      <c r="I59" s="185"/>
      <c r="J59" s="182"/>
      <c r="K59" s="183"/>
      <c r="N59" s="127"/>
      <c r="U59" s="127"/>
    </row>
    <row r="60" spans="1:24" s="127" customFormat="1">
      <c r="A60" s="186"/>
      <c r="B60" s="187"/>
      <c r="C60" s="187"/>
      <c r="D60" s="188"/>
      <c r="E60" s="188"/>
      <c r="F60" s="188"/>
      <c r="G60" s="188"/>
      <c r="H60" s="189"/>
      <c r="I60" s="220"/>
      <c r="J60" s="221"/>
      <c r="K60" s="185"/>
      <c r="M60" s="119"/>
      <c r="N60" s="111"/>
      <c r="O60" s="111"/>
      <c r="P60" s="111"/>
      <c r="Q60" s="111"/>
      <c r="R60" s="111"/>
      <c r="S60" s="111"/>
      <c r="T60" s="111"/>
      <c r="U60" s="111"/>
      <c r="V60" s="111"/>
      <c r="W60" s="111"/>
      <c r="X60" s="111"/>
    </row>
    <row r="61" spans="1:24">
      <c r="A61" s="170"/>
      <c r="B61" s="167"/>
      <c r="C61" s="191"/>
      <c r="D61" s="192"/>
      <c r="E61" s="192"/>
      <c r="F61" s="193"/>
      <c r="G61" s="193"/>
      <c r="H61" s="194"/>
      <c r="I61" s="222"/>
      <c r="J61" s="221"/>
      <c r="K61" s="183"/>
      <c r="X61" s="127"/>
    </row>
    <row r="62" spans="1:24">
      <c r="A62" s="190"/>
      <c r="B62" s="195"/>
      <c r="C62" s="196"/>
      <c r="D62" s="197"/>
      <c r="E62" s="197"/>
      <c r="F62" s="198"/>
      <c r="G62" s="198"/>
      <c r="H62" s="199"/>
      <c r="I62" s="222"/>
      <c r="J62" s="221"/>
      <c r="K62" s="185"/>
    </row>
    <row r="63" spans="1:24">
      <c r="A63" s="170"/>
      <c r="B63" s="200"/>
      <c r="C63" s="200"/>
      <c r="D63" s="170"/>
      <c r="E63" s="170"/>
      <c r="F63" s="201"/>
      <c r="G63" s="201"/>
      <c r="H63" s="184"/>
      <c r="I63" s="223"/>
      <c r="J63" s="221"/>
      <c r="K63" s="183"/>
    </row>
    <row r="64" spans="1:24">
      <c r="A64" s="115"/>
      <c r="B64" s="130"/>
      <c r="C64" s="130"/>
      <c r="D64" s="121"/>
      <c r="E64" s="121"/>
      <c r="H64" s="164"/>
      <c r="I64" s="113"/>
      <c r="J64" s="123"/>
    </row>
    <row r="65" spans="1:24">
      <c r="A65" s="202" t="s">
        <v>2958</v>
      </c>
      <c r="B65" s="203"/>
      <c r="C65" s="204"/>
      <c r="D65" s="205"/>
      <c r="E65" s="205"/>
      <c r="F65" s="202"/>
      <c r="G65" s="203"/>
      <c r="H65" s="206"/>
      <c r="I65" s="202"/>
      <c r="J65" s="203"/>
      <c r="K65" s="207"/>
      <c r="W65" s="127"/>
    </row>
    <row r="66" spans="1:24" ht="25.5">
      <c r="A66" s="216" t="s">
        <v>2985</v>
      </c>
      <c r="B66" s="129" t="s">
        <v>55</v>
      </c>
      <c r="C66" s="129" t="s">
        <v>56</v>
      </c>
      <c r="D66" s="214" t="s">
        <v>2974</v>
      </c>
      <c r="E66" s="214" t="s">
        <v>2975</v>
      </c>
      <c r="F66" s="215" t="s">
        <v>2979</v>
      </c>
      <c r="G66" s="215" t="s">
        <v>2980</v>
      </c>
      <c r="H66" s="165"/>
      <c r="I66" s="216" t="s">
        <v>2982</v>
      </c>
      <c r="J66" s="216" t="s">
        <v>2984</v>
      </c>
      <c r="K66" s="215" t="s">
        <v>2983</v>
      </c>
    </row>
    <row r="67" spans="1:24">
      <c r="B67" s="123"/>
      <c r="C67" s="123"/>
      <c r="D67" s="111"/>
      <c r="E67" s="111"/>
      <c r="F67" s="124"/>
      <c r="G67" s="124"/>
      <c r="H67" s="164"/>
      <c r="I67" s="111"/>
      <c r="J67" s="123"/>
    </row>
    <row r="68" spans="1:24">
      <c r="A68" s="176">
        <v>1</v>
      </c>
      <c r="B68" s="178">
        <v>42094.409837962965</v>
      </c>
      <c r="C68" s="178">
        <v>42094.420497685183</v>
      </c>
      <c r="D68" s="179">
        <v>1.0067833333333334</v>
      </c>
      <c r="E68" s="179">
        <v>2.6939459223912325E-3</v>
      </c>
      <c r="F68" s="180"/>
      <c r="G68" s="180"/>
      <c r="H68" s="181"/>
      <c r="I68" s="217"/>
      <c r="J68" s="182"/>
      <c r="K68" s="183"/>
      <c r="N68" s="119"/>
    </row>
    <row r="69" spans="1:24">
      <c r="A69" s="176">
        <v>2</v>
      </c>
      <c r="B69" s="178">
        <v>42094.447581018518</v>
      </c>
      <c r="C69" s="178">
        <v>42094.458240740743</v>
      </c>
      <c r="D69" s="179">
        <v>2.0055833333333331</v>
      </c>
      <c r="E69" s="179">
        <v>9.4405663911283869E-4</v>
      </c>
      <c r="F69" s="180"/>
      <c r="G69" s="180"/>
      <c r="H69" s="181"/>
      <c r="I69" s="217"/>
      <c r="J69" s="182"/>
      <c r="K69" s="183"/>
      <c r="V69" s="127"/>
    </row>
    <row r="70" spans="1:24">
      <c r="A70" s="176">
        <v>3</v>
      </c>
      <c r="B70" s="178">
        <v>42094.485150462962</v>
      </c>
      <c r="C70" s="178">
        <v>42094.495844907404</v>
      </c>
      <c r="D70" s="179">
        <v>3.0063833333333343</v>
      </c>
      <c r="E70" s="179">
        <v>7.6116918689186149E-4</v>
      </c>
      <c r="F70" s="180"/>
      <c r="G70" s="180"/>
      <c r="H70" s="181"/>
      <c r="I70" s="217"/>
      <c r="J70" s="182"/>
      <c r="K70" s="183"/>
    </row>
    <row r="71" spans="1:24">
      <c r="A71" s="176">
        <v>4</v>
      </c>
      <c r="B71" s="178">
        <v>42094.522928240738</v>
      </c>
      <c r="C71" s="178">
        <v>42094.533622685187</v>
      </c>
      <c r="D71" s="179">
        <v>4.0062666666666678</v>
      </c>
      <c r="E71" s="179">
        <v>6.6042273741156066E-4</v>
      </c>
      <c r="F71" s="180"/>
      <c r="G71" s="180"/>
      <c r="H71" s="184"/>
      <c r="I71" s="185"/>
      <c r="J71" s="182"/>
      <c r="K71" s="183"/>
    </row>
    <row r="72" spans="1:24">
      <c r="A72" s="176">
        <v>5</v>
      </c>
      <c r="B72" s="178">
        <v>42094.560706018521</v>
      </c>
      <c r="C72" s="178">
        <v>42094.571412037039</v>
      </c>
      <c r="D72" s="179">
        <v>5.0064166666666665</v>
      </c>
      <c r="E72" s="179">
        <v>7.1997332028394319E-4</v>
      </c>
      <c r="F72" s="180"/>
      <c r="G72" s="180"/>
      <c r="H72" s="184"/>
      <c r="I72" s="185"/>
      <c r="J72" s="182"/>
      <c r="K72" s="183"/>
    </row>
    <row r="73" spans="1:24">
      <c r="A73" s="176">
        <v>6</v>
      </c>
      <c r="B73" s="178">
        <v>42094.598668981482</v>
      </c>
      <c r="C73" s="178">
        <v>42094.609386574077</v>
      </c>
      <c r="D73" s="179">
        <v>6.0069000000000017</v>
      </c>
      <c r="E73" s="179">
        <v>6.0225564705251432E-4</v>
      </c>
      <c r="F73" s="180"/>
      <c r="G73" s="180"/>
      <c r="H73" s="184"/>
      <c r="I73" s="185"/>
      <c r="J73" s="182"/>
      <c r="K73" s="183"/>
    </row>
    <row r="74" spans="1:24">
      <c r="A74" s="176">
        <v>7</v>
      </c>
      <c r="B74" s="178">
        <v>42094.636458333334</v>
      </c>
      <c r="C74" s="178">
        <v>42094.647210648145</v>
      </c>
      <c r="D74" s="179">
        <v>7.0067666666666666</v>
      </c>
      <c r="E74" s="179">
        <v>5.9280049711376518E-4</v>
      </c>
      <c r="F74" s="180"/>
      <c r="G74" s="180"/>
      <c r="H74" s="184"/>
      <c r="I74" s="185"/>
      <c r="J74" s="182"/>
      <c r="K74" s="183"/>
      <c r="N74" s="127"/>
      <c r="U74" s="127"/>
    </row>
    <row r="75" spans="1:24" s="127" customFormat="1">
      <c r="A75" s="186"/>
      <c r="B75" s="187"/>
      <c r="C75" s="187"/>
      <c r="D75" s="188"/>
      <c r="E75" s="188"/>
      <c r="F75" s="188"/>
      <c r="G75" s="188"/>
      <c r="H75" s="189"/>
      <c r="I75" s="220"/>
      <c r="J75" s="221"/>
      <c r="K75" s="185"/>
      <c r="M75" s="119"/>
      <c r="N75" s="111"/>
      <c r="O75" s="111"/>
      <c r="P75" s="111"/>
      <c r="Q75" s="111"/>
      <c r="R75" s="111"/>
      <c r="S75" s="111"/>
      <c r="T75" s="111"/>
      <c r="U75" s="111"/>
      <c r="V75" s="111"/>
      <c r="W75" s="111"/>
      <c r="X75" s="111"/>
    </row>
    <row r="76" spans="1:24">
      <c r="A76" s="170"/>
      <c r="B76" s="167"/>
      <c r="C76" s="191"/>
      <c r="D76" s="192"/>
      <c r="E76" s="192"/>
      <c r="F76" s="193"/>
      <c r="G76" s="193"/>
      <c r="H76" s="194"/>
      <c r="I76" s="222"/>
      <c r="J76" s="221"/>
      <c r="K76" s="183"/>
      <c r="X76" s="127"/>
    </row>
    <row r="77" spans="1:24">
      <c r="A77" s="190"/>
      <c r="B77" s="195"/>
      <c r="C77" s="196"/>
      <c r="D77" s="197"/>
      <c r="E77" s="197"/>
      <c r="F77" s="198"/>
      <c r="G77" s="198"/>
      <c r="H77" s="199"/>
      <c r="I77" s="222"/>
      <c r="J77" s="221"/>
      <c r="K77" s="185"/>
    </row>
    <row r="78" spans="1:24">
      <c r="A78" s="170"/>
      <c r="B78" s="200"/>
      <c r="C78" s="200"/>
      <c r="D78" s="170"/>
      <c r="E78" s="170"/>
      <c r="F78" s="201"/>
      <c r="G78" s="201"/>
      <c r="H78" s="184"/>
      <c r="I78" s="223"/>
      <c r="J78" s="221"/>
      <c r="K78" s="183"/>
    </row>
    <row r="79" spans="1:24">
      <c r="A79" s="126"/>
      <c r="B79" s="123"/>
      <c r="C79" s="123"/>
      <c r="D79" s="111"/>
      <c r="E79" s="111"/>
      <c r="F79" s="135"/>
      <c r="G79" s="124"/>
      <c r="H79" s="164"/>
      <c r="I79" s="113"/>
      <c r="J79" s="123"/>
    </row>
    <row r="80" spans="1:24">
      <c r="A80" s="202" t="s">
        <v>2958</v>
      </c>
      <c r="B80" s="203"/>
      <c r="C80" s="204"/>
      <c r="D80" s="205"/>
      <c r="E80" s="205"/>
      <c r="F80" s="202"/>
      <c r="G80" s="203"/>
      <c r="H80" s="206"/>
      <c r="I80" s="202"/>
      <c r="J80" s="203"/>
      <c r="K80" s="207"/>
      <c r="W80" s="127"/>
    </row>
    <row r="81" spans="1:24" ht="25.5">
      <c r="A81" s="216" t="s">
        <v>2985</v>
      </c>
      <c r="B81" s="129" t="s">
        <v>55</v>
      </c>
      <c r="C81" s="129" t="s">
        <v>56</v>
      </c>
      <c r="D81" s="214" t="s">
        <v>2974</v>
      </c>
      <c r="E81" s="214" t="s">
        <v>2975</v>
      </c>
      <c r="F81" s="215" t="s">
        <v>2979</v>
      </c>
      <c r="G81" s="215" t="s">
        <v>2980</v>
      </c>
      <c r="H81" s="165"/>
      <c r="I81" s="216" t="s">
        <v>2982</v>
      </c>
      <c r="J81" s="216" t="s">
        <v>2984</v>
      </c>
      <c r="K81" s="215" t="s">
        <v>2983</v>
      </c>
    </row>
    <row r="82" spans="1:24">
      <c r="B82" s="123"/>
      <c r="C82" s="123"/>
      <c r="D82" s="111"/>
      <c r="E82" s="111"/>
      <c r="F82" s="124"/>
      <c r="G82" s="124"/>
      <c r="H82" s="164"/>
      <c r="I82" s="111"/>
      <c r="J82" s="123"/>
    </row>
    <row r="83" spans="1:24">
      <c r="A83" s="176">
        <v>1</v>
      </c>
      <c r="B83" s="178">
        <v>42094.409837962965</v>
      </c>
      <c r="C83" s="178">
        <v>42094.420497685183</v>
      </c>
      <c r="D83" s="179">
        <v>1.0067833333333334</v>
      </c>
      <c r="E83" s="179">
        <v>2.6939459223912325E-3</v>
      </c>
      <c r="F83" s="180"/>
      <c r="G83" s="180"/>
      <c r="H83" s="181"/>
      <c r="I83" s="217"/>
      <c r="J83" s="182"/>
      <c r="K83" s="183"/>
    </row>
    <row r="84" spans="1:24">
      <c r="A84" s="176">
        <v>2</v>
      </c>
      <c r="B84" s="178">
        <v>42094.447581018518</v>
      </c>
      <c r="C84" s="178">
        <v>42094.458240740743</v>
      </c>
      <c r="D84" s="179">
        <v>2.0055833333333331</v>
      </c>
      <c r="E84" s="179">
        <v>9.4405663911283869E-4</v>
      </c>
      <c r="F84" s="180"/>
      <c r="G84" s="180"/>
      <c r="H84" s="181"/>
      <c r="I84" s="217"/>
      <c r="J84" s="182"/>
      <c r="K84" s="183"/>
      <c r="V84" s="127"/>
    </row>
    <row r="85" spans="1:24">
      <c r="A85" s="176">
        <v>3</v>
      </c>
      <c r="B85" s="178">
        <v>42094.485150462962</v>
      </c>
      <c r="C85" s="178">
        <v>42094.495844907404</v>
      </c>
      <c r="D85" s="179">
        <v>3.0063833333333343</v>
      </c>
      <c r="E85" s="179">
        <v>7.6116918689186149E-4</v>
      </c>
      <c r="F85" s="180"/>
      <c r="G85" s="180"/>
      <c r="H85" s="181"/>
      <c r="I85" s="217"/>
      <c r="J85" s="182"/>
      <c r="K85" s="183"/>
    </row>
    <row r="86" spans="1:24">
      <c r="A86" s="176">
        <v>4</v>
      </c>
      <c r="B86" s="178">
        <v>42094.522928240738</v>
      </c>
      <c r="C86" s="178">
        <v>42094.533622685187</v>
      </c>
      <c r="D86" s="179">
        <v>4.0062666666666678</v>
      </c>
      <c r="E86" s="179">
        <v>6.6042273741156066E-4</v>
      </c>
      <c r="F86" s="180"/>
      <c r="G86" s="180"/>
      <c r="H86" s="184"/>
      <c r="I86" s="185"/>
      <c r="J86" s="182"/>
      <c r="K86" s="183"/>
    </row>
    <row r="87" spans="1:24">
      <c r="A87" s="176">
        <v>5</v>
      </c>
      <c r="B87" s="178">
        <v>42094.560706018521</v>
      </c>
      <c r="C87" s="178">
        <v>42094.571412037039</v>
      </c>
      <c r="D87" s="179">
        <v>5.0064166666666665</v>
      </c>
      <c r="E87" s="179">
        <v>7.1997332028394319E-4</v>
      </c>
      <c r="F87" s="180"/>
      <c r="G87" s="180"/>
      <c r="H87" s="184"/>
      <c r="I87" s="185"/>
      <c r="J87" s="182"/>
      <c r="K87" s="183"/>
    </row>
    <row r="88" spans="1:24">
      <c r="A88" s="176">
        <v>6</v>
      </c>
      <c r="B88" s="178">
        <v>42094.598668981482</v>
      </c>
      <c r="C88" s="178">
        <v>42094.609386574077</v>
      </c>
      <c r="D88" s="179">
        <v>6.0069000000000017</v>
      </c>
      <c r="E88" s="179">
        <v>6.0225564705251432E-4</v>
      </c>
      <c r="F88" s="180"/>
      <c r="G88" s="180"/>
      <c r="H88" s="184"/>
      <c r="I88" s="185"/>
      <c r="J88" s="182"/>
      <c r="K88" s="183"/>
    </row>
    <row r="89" spans="1:24">
      <c r="A89" s="176">
        <v>7</v>
      </c>
      <c r="B89" s="178">
        <v>42094.636458333334</v>
      </c>
      <c r="C89" s="178">
        <v>42094.647210648145</v>
      </c>
      <c r="D89" s="179">
        <v>7.0067666666666666</v>
      </c>
      <c r="E89" s="179">
        <v>5.9280049711376518E-4</v>
      </c>
      <c r="F89" s="180"/>
      <c r="G89" s="180"/>
      <c r="H89" s="184"/>
      <c r="I89" s="185"/>
      <c r="J89" s="182"/>
      <c r="K89" s="183"/>
    </row>
    <row r="90" spans="1:24" s="127" customFormat="1">
      <c r="A90" s="186"/>
      <c r="B90" s="187"/>
      <c r="C90" s="187"/>
      <c r="D90" s="188"/>
      <c r="E90" s="188"/>
      <c r="F90" s="188"/>
      <c r="G90" s="188"/>
      <c r="H90" s="189"/>
      <c r="I90" s="220"/>
      <c r="J90" s="221"/>
      <c r="K90" s="185"/>
      <c r="M90" s="119"/>
      <c r="N90" s="111"/>
      <c r="O90" s="111"/>
      <c r="P90" s="111"/>
      <c r="Q90" s="111"/>
      <c r="R90" s="111"/>
      <c r="S90" s="111"/>
      <c r="T90" s="111"/>
      <c r="U90" s="111"/>
      <c r="V90" s="111"/>
      <c r="W90" s="111"/>
      <c r="X90" s="111"/>
    </row>
    <row r="91" spans="1:24">
      <c r="A91" s="170"/>
      <c r="B91" s="167"/>
      <c r="C91" s="191"/>
      <c r="D91" s="192"/>
      <c r="E91" s="192"/>
      <c r="F91" s="193"/>
      <c r="G91" s="193"/>
      <c r="H91" s="194"/>
      <c r="I91" s="222"/>
      <c r="J91" s="221"/>
      <c r="K91" s="183"/>
      <c r="X91" s="127"/>
    </row>
    <row r="92" spans="1:24">
      <c r="A92" s="190"/>
      <c r="B92" s="195"/>
      <c r="C92" s="196"/>
      <c r="D92" s="197"/>
      <c r="E92" s="197"/>
      <c r="F92" s="198"/>
      <c r="G92" s="198"/>
      <c r="H92" s="199"/>
      <c r="I92" s="222"/>
      <c r="J92" s="221"/>
      <c r="K92" s="185"/>
    </row>
    <row r="93" spans="1:24">
      <c r="A93" s="170"/>
      <c r="B93" s="200"/>
      <c r="C93" s="200"/>
      <c r="D93" s="170"/>
      <c r="E93" s="170"/>
      <c r="F93" s="201"/>
      <c r="G93" s="201"/>
      <c r="H93" s="184"/>
      <c r="I93" s="223"/>
      <c r="J93" s="221"/>
      <c r="K93" s="183"/>
    </row>
    <row r="94" spans="1:24">
      <c r="A94" s="126"/>
      <c r="B94" s="123"/>
      <c r="C94" s="123"/>
      <c r="D94" s="111"/>
      <c r="E94" s="111"/>
      <c r="F94" s="135"/>
      <c r="G94" s="124"/>
      <c r="H94" s="164"/>
      <c r="I94" s="113"/>
      <c r="J94" s="123"/>
    </row>
    <row r="95" spans="1:24">
      <c r="A95" s="202" t="s">
        <v>2958</v>
      </c>
      <c r="B95" s="203"/>
      <c r="C95" s="204"/>
      <c r="D95" s="205"/>
      <c r="E95" s="205"/>
      <c r="F95" s="202"/>
      <c r="G95" s="203"/>
      <c r="H95" s="206"/>
      <c r="I95" s="202"/>
      <c r="J95" s="203"/>
      <c r="K95" s="207"/>
      <c r="W95" s="127"/>
    </row>
    <row r="96" spans="1:24" ht="25.5">
      <c r="A96" s="216" t="s">
        <v>2985</v>
      </c>
      <c r="B96" s="129" t="s">
        <v>55</v>
      </c>
      <c r="C96" s="129" t="s">
        <v>56</v>
      </c>
      <c r="D96" s="214" t="s">
        <v>2974</v>
      </c>
      <c r="E96" s="214" t="s">
        <v>2975</v>
      </c>
      <c r="F96" s="215" t="s">
        <v>2979</v>
      </c>
      <c r="G96" s="215" t="s">
        <v>2980</v>
      </c>
      <c r="H96" s="165"/>
      <c r="I96" s="216" t="s">
        <v>2982</v>
      </c>
      <c r="J96" s="216" t="s">
        <v>2984</v>
      </c>
      <c r="K96" s="215" t="s">
        <v>2983</v>
      </c>
    </row>
    <row r="97" spans="1:24">
      <c r="B97" s="123"/>
      <c r="C97" s="123"/>
      <c r="D97" s="111"/>
      <c r="E97" s="111"/>
      <c r="F97" s="124"/>
      <c r="G97" s="124"/>
      <c r="H97" s="164"/>
      <c r="I97" s="111"/>
      <c r="J97" s="123"/>
    </row>
    <row r="98" spans="1:24">
      <c r="A98" s="176">
        <v>1</v>
      </c>
      <c r="B98" s="178">
        <v>42094.409837962965</v>
      </c>
      <c r="C98" s="178">
        <v>42094.420497685183</v>
      </c>
      <c r="D98" s="179">
        <v>1.0067833333333334</v>
      </c>
      <c r="E98" s="179">
        <v>2.6939459223912325E-3</v>
      </c>
      <c r="F98" s="180"/>
      <c r="G98" s="180"/>
      <c r="H98" s="181"/>
      <c r="I98" s="217"/>
      <c r="J98" s="182"/>
      <c r="K98" s="183"/>
    </row>
    <row r="99" spans="1:24">
      <c r="A99" s="176">
        <v>2</v>
      </c>
      <c r="B99" s="178">
        <v>42094.447581018518</v>
      </c>
      <c r="C99" s="178">
        <v>42094.458240740743</v>
      </c>
      <c r="D99" s="179">
        <v>2.0055833333333331</v>
      </c>
      <c r="E99" s="179">
        <v>9.4405663911283869E-4</v>
      </c>
      <c r="F99" s="180"/>
      <c r="G99" s="180"/>
      <c r="H99" s="181"/>
      <c r="I99" s="217"/>
      <c r="J99" s="182"/>
      <c r="K99" s="183"/>
      <c r="V99" s="127"/>
    </row>
    <row r="100" spans="1:24">
      <c r="A100" s="176">
        <v>3</v>
      </c>
      <c r="B100" s="178">
        <v>42094.485150462962</v>
      </c>
      <c r="C100" s="178">
        <v>42094.495844907404</v>
      </c>
      <c r="D100" s="179">
        <v>3.0063833333333343</v>
      </c>
      <c r="E100" s="179">
        <v>7.6116918689186149E-4</v>
      </c>
      <c r="F100" s="180"/>
      <c r="G100" s="180"/>
      <c r="H100" s="181"/>
      <c r="I100" s="217"/>
      <c r="J100" s="182"/>
      <c r="K100" s="183"/>
    </row>
    <row r="101" spans="1:24">
      <c r="A101" s="176">
        <v>4</v>
      </c>
      <c r="B101" s="178">
        <v>42094.522928240738</v>
      </c>
      <c r="C101" s="178">
        <v>42094.533622685187</v>
      </c>
      <c r="D101" s="179">
        <v>4.0062666666666678</v>
      </c>
      <c r="E101" s="179">
        <v>6.6042273741156066E-4</v>
      </c>
      <c r="F101" s="180"/>
      <c r="G101" s="180"/>
      <c r="H101" s="184"/>
      <c r="I101" s="185"/>
      <c r="J101" s="182"/>
      <c r="K101" s="183"/>
    </row>
    <row r="102" spans="1:24">
      <c r="A102" s="176">
        <v>5</v>
      </c>
      <c r="B102" s="178">
        <v>42094.560706018521</v>
      </c>
      <c r="C102" s="178">
        <v>42094.571412037039</v>
      </c>
      <c r="D102" s="179">
        <v>5.0064166666666665</v>
      </c>
      <c r="E102" s="179">
        <v>7.1997332028394319E-4</v>
      </c>
      <c r="F102" s="180"/>
      <c r="G102" s="180"/>
      <c r="H102" s="184"/>
      <c r="I102" s="185"/>
      <c r="J102" s="182"/>
      <c r="K102" s="183"/>
    </row>
    <row r="103" spans="1:24">
      <c r="A103" s="176">
        <v>6</v>
      </c>
      <c r="B103" s="178">
        <v>42094.598668981482</v>
      </c>
      <c r="C103" s="178">
        <v>42094.609386574077</v>
      </c>
      <c r="D103" s="179">
        <v>6.0069000000000017</v>
      </c>
      <c r="E103" s="179">
        <v>6.0225564705251432E-4</v>
      </c>
      <c r="F103" s="180"/>
      <c r="G103" s="180"/>
      <c r="H103" s="184"/>
      <c r="I103" s="185"/>
      <c r="J103" s="182"/>
      <c r="K103" s="183"/>
    </row>
    <row r="104" spans="1:24">
      <c r="A104" s="176">
        <v>7</v>
      </c>
      <c r="B104" s="178">
        <v>42094.636458333334</v>
      </c>
      <c r="C104" s="178">
        <v>42094.647210648145</v>
      </c>
      <c r="D104" s="179">
        <v>7.0067666666666666</v>
      </c>
      <c r="E104" s="179">
        <v>5.9280049711376518E-4</v>
      </c>
      <c r="F104" s="180"/>
      <c r="G104" s="180"/>
      <c r="H104" s="184"/>
      <c r="I104" s="185"/>
      <c r="J104" s="182"/>
      <c r="K104" s="183"/>
    </row>
    <row r="105" spans="1:24" s="127" customFormat="1">
      <c r="A105" s="186"/>
      <c r="B105" s="187"/>
      <c r="C105" s="187"/>
      <c r="D105" s="188"/>
      <c r="E105" s="188"/>
      <c r="F105" s="188"/>
      <c r="G105" s="188"/>
      <c r="H105" s="189"/>
      <c r="I105" s="220"/>
      <c r="J105" s="221"/>
      <c r="K105" s="185"/>
      <c r="M105" s="119"/>
      <c r="N105" s="111"/>
      <c r="O105" s="111"/>
      <c r="P105" s="111"/>
      <c r="Q105" s="111"/>
      <c r="R105" s="111"/>
      <c r="S105" s="111"/>
      <c r="T105" s="111"/>
      <c r="U105" s="111"/>
      <c r="V105" s="111"/>
      <c r="W105" s="111"/>
      <c r="X105" s="111"/>
    </row>
    <row r="106" spans="1:24">
      <c r="A106" s="170"/>
      <c r="B106" s="167"/>
      <c r="C106" s="191"/>
      <c r="D106" s="192"/>
      <c r="E106" s="192"/>
      <c r="F106" s="193"/>
      <c r="G106" s="193"/>
      <c r="H106" s="194"/>
      <c r="I106" s="222"/>
      <c r="J106" s="221"/>
      <c r="K106" s="183"/>
      <c r="X106" s="127"/>
    </row>
    <row r="107" spans="1:24">
      <c r="A107" s="190"/>
      <c r="B107" s="195"/>
      <c r="C107" s="196"/>
      <c r="D107" s="197"/>
      <c r="E107" s="197"/>
      <c r="F107" s="198"/>
      <c r="G107" s="198"/>
      <c r="H107" s="199"/>
      <c r="I107" s="222"/>
      <c r="J107" s="221"/>
      <c r="K107" s="185"/>
    </row>
    <row r="108" spans="1:24">
      <c r="A108" s="170"/>
      <c r="B108" s="200"/>
      <c r="C108" s="200"/>
      <c r="D108" s="170"/>
      <c r="E108" s="170"/>
      <c r="F108" s="201"/>
      <c r="G108" s="201"/>
      <c r="H108" s="184"/>
      <c r="I108" s="223"/>
      <c r="J108" s="221"/>
      <c r="K108" s="183"/>
    </row>
    <row r="110" spans="1:24">
      <c r="A110" s="202" t="s">
        <v>2958</v>
      </c>
      <c r="B110" s="203"/>
      <c r="C110" s="204"/>
      <c r="D110" s="205"/>
      <c r="E110" s="205"/>
      <c r="F110" s="202"/>
      <c r="G110" s="203"/>
      <c r="H110" s="206"/>
      <c r="I110" s="202"/>
      <c r="J110" s="203"/>
      <c r="K110" s="207"/>
      <c r="W110" s="127"/>
    </row>
    <row r="111" spans="1:24" ht="25.5">
      <c r="A111" s="216" t="s">
        <v>2985</v>
      </c>
      <c r="B111" s="129" t="s">
        <v>55</v>
      </c>
      <c r="C111" s="129" t="s">
        <v>56</v>
      </c>
      <c r="D111" s="214" t="s">
        <v>2974</v>
      </c>
      <c r="E111" s="214" t="s">
        <v>2975</v>
      </c>
      <c r="F111" s="215" t="s">
        <v>2979</v>
      </c>
      <c r="G111" s="215" t="s">
        <v>2980</v>
      </c>
      <c r="H111" s="165"/>
      <c r="I111" s="216" t="s">
        <v>2982</v>
      </c>
      <c r="J111" s="216" t="s">
        <v>2984</v>
      </c>
      <c r="K111" s="215" t="s">
        <v>2983</v>
      </c>
    </row>
    <row r="112" spans="1:24">
      <c r="B112" s="123"/>
      <c r="C112" s="123"/>
      <c r="D112" s="111"/>
      <c r="E112" s="111"/>
      <c r="F112" s="124"/>
      <c r="G112" s="124"/>
      <c r="H112" s="164"/>
      <c r="I112" s="111"/>
      <c r="J112" s="123"/>
    </row>
    <row r="113" spans="1:24">
      <c r="A113" s="176">
        <v>1</v>
      </c>
      <c r="B113" s="178">
        <v>42094.409837962965</v>
      </c>
      <c r="C113" s="178">
        <v>42094.420497685183</v>
      </c>
      <c r="D113" s="179">
        <v>1.0067833333333334</v>
      </c>
      <c r="E113" s="179">
        <v>2.6939459223912325E-3</v>
      </c>
      <c r="F113" s="180"/>
      <c r="G113" s="180"/>
      <c r="H113" s="181"/>
      <c r="I113" s="217"/>
      <c r="J113" s="182"/>
      <c r="K113" s="183"/>
    </row>
    <row r="114" spans="1:24">
      <c r="A114" s="176">
        <v>2</v>
      </c>
      <c r="B114" s="178">
        <v>42094.447581018518</v>
      </c>
      <c r="C114" s="178">
        <v>42094.458240740743</v>
      </c>
      <c r="D114" s="179">
        <v>2.0055833333333331</v>
      </c>
      <c r="E114" s="179">
        <v>9.4405663911283869E-4</v>
      </c>
      <c r="F114" s="180"/>
      <c r="G114" s="180"/>
      <c r="H114" s="181"/>
      <c r="I114" s="217"/>
      <c r="J114" s="182"/>
      <c r="K114" s="183"/>
      <c r="V114" s="127"/>
    </row>
    <row r="115" spans="1:24">
      <c r="A115" s="176">
        <v>3</v>
      </c>
      <c r="B115" s="178">
        <v>42094.485150462962</v>
      </c>
      <c r="C115" s="178">
        <v>42094.495844907404</v>
      </c>
      <c r="D115" s="179">
        <v>3.0063833333333343</v>
      </c>
      <c r="E115" s="179">
        <v>7.6116918689186149E-4</v>
      </c>
      <c r="F115" s="180"/>
      <c r="G115" s="180"/>
      <c r="H115" s="181"/>
      <c r="I115" s="217"/>
      <c r="J115" s="182"/>
      <c r="K115" s="183"/>
    </row>
    <row r="116" spans="1:24">
      <c r="A116" s="176">
        <v>4</v>
      </c>
      <c r="B116" s="178">
        <v>42094.522928240738</v>
      </c>
      <c r="C116" s="178">
        <v>42094.533622685187</v>
      </c>
      <c r="D116" s="179">
        <v>4.0062666666666678</v>
      </c>
      <c r="E116" s="179">
        <v>6.6042273741156066E-4</v>
      </c>
      <c r="F116" s="180"/>
      <c r="G116" s="180"/>
      <c r="H116" s="184"/>
      <c r="I116" s="185"/>
      <c r="J116" s="182"/>
      <c r="K116" s="183"/>
    </row>
    <row r="117" spans="1:24">
      <c r="A117" s="176">
        <v>5</v>
      </c>
      <c r="B117" s="178">
        <v>42094.560706018521</v>
      </c>
      <c r="C117" s="178">
        <v>42094.571412037039</v>
      </c>
      <c r="D117" s="179">
        <v>5.0064166666666665</v>
      </c>
      <c r="E117" s="179">
        <v>7.1997332028394319E-4</v>
      </c>
      <c r="F117" s="180"/>
      <c r="G117" s="180"/>
      <c r="H117" s="184"/>
      <c r="I117" s="185"/>
      <c r="J117" s="182"/>
      <c r="K117" s="183"/>
    </row>
    <row r="118" spans="1:24">
      <c r="A118" s="176">
        <v>6</v>
      </c>
      <c r="B118" s="178">
        <v>42094.598668981482</v>
      </c>
      <c r="C118" s="178">
        <v>42094.609386574077</v>
      </c>
      <c r="D118" s="179">
        <v>6.0069000000000017</v>
      </c>
      <c r="E118" s="179">
        <v>6.0225564705251432E-4</v>
      </c>
      <c r="F118" s="180"/>
      <c r="G118" s="180"/>
      <c r="H118" s="184"/>
      <c r="I118" s="185"/>
      <c r="J118" s="182"/>
      <c r="K118" s="183"/>
    </row>
    <row r="119" spans="1:24">
      <c r="A119" s="176">
        <v>7</v>
      </c>
      <c r="B119" s="178">
        <v>42094.636458333334</v>
      </c>
      <c r="C119" s="178">
        <v>42094.647210648145</v>
      </c>
      <c r="D119" s="179">
        <v>7.0067666666666666</v>
      </c>
      <c r="E119" s="179">
        <v>5.9280049711376518E-4</v>
      </c>
      <c r="F119" s="180"/>
      <c r="G119" s="180"/>
      <c r="H119" s="184"/>
      <c r="I119" s="185"/>
      <c r="J119" s="182"/>
      <c r="K119" s="183"/>
    </row>
    <row r="120" spans="1:24" s="127" customFormat="1">
      <c r="A120" s="186"/>
      <c r="B120" s="187"/>
      <c r="C120" s="187"/>
      <c r="D120" s="188"/>
      <c r="E120" s="188"/>
      <c r="F120" s="188"/>
      <c r="G120" s="188"/>
      <c r="H120" s="189"/>
      <c r="I120" s="220"/>
      <c r="J120" s="221"/>
      <c r="K120" s="185"/>
      <c r="M120" s="119"/>
      <c r="N120" s="111"/>
      <c r="O120" s="111"/>
      <c r="P120" s="111"/>
      <c r="Q120" s="111"/>
      <c r="R120" s="111"/>
      <c r="S120" s="111"/>
      <c r="T120" s="111"/>
      <c r="U120" s="111"/>
      <c r="V120" s="111"/>
      <c r="W120" s="111"/>
      <c r="X120" s="111"/>
    </row>
    <row r="121" spans="1:24">
      <c r="A121" s="170"/>
      <c r="B121" s="167"/>
      <c r="C121" s="191"/>
      <c r="D121" s="192"/>
      <c r="E121" s="192"/>
      <c r="F121" s="193"/>
      <c r="G121" s="193"/>
      <c r="H121" s="194"/>
      <c r="I121" s="222"/>
      <c r="J121" s="221"/>
      <c r="K121" s="183"/>
      <c r="X121" s="127"/>
    </row>
    <row r="122" spans="1:24">
      <c r="A122" s="190"/>
      <c r="B122" s="195"/>
      <c r="C122" s="196"/>
      <c r="D122" s="197"/>
      <c r="E122" s="197"/>
      <c r="F122" s="198"/>
      <c r="G122" s="198"/>
      <c r="H122" s="199"/>
      <c r="I122" s="222"/>
      <c r="J122" s="221"/>
      <c r="K122" s="185"/>
    </row>
    <row r="123" spans="1:24">
      <c r="A123" s="170"/>
      <c r="B123" s="200"/>
      <c r="C123" s="200"/>
      <c r="D123" s="170"/>
      <c r="E123" s="170"/>
      <c r="F123" s="201"/>
      <c r="G123" s="201"/>
      <c r="H123" s="184"/>
      <c r="I123" s="223"/>
      <c r="J123" s="221"/>
      <c r="K123" s="183"/>
    </row>
    <row r="125" spans="1:24">
      <c r="A125" s="202" t="s">
        <v>2958</v>
      </c>
      <c r="B125" s="203"/>
      <c r="C125" s="204"/>
      <c r="D125" s="205"/>
      <c r="E125" s="205"/>
      <c r="F125" s="202"/>
      <c r="G125" s="203"/>
      <c r="H125" s="206"/>
      <c r="I125" s="202"/>
      <c r="J125" s="203"/>
      <c r="K125" s="207"/>
      <c r="W125" s="127"/>
    </row>
    <row r="126" spans="1:24" ht="25.5">
      <c r="A126" s="216" t="s">
        <v>2985</v>
      </c>
      <c r="B126" s="129" t="s">
        <v>55</v>
      </c>
      <c r="C126" s="129" t="s">
        <v>56</v>
      </c>
      <c r="D126" s="214" t="s">
        <v>2974</v>
      </c>
      <c r="E126" s="214" t="s">
        <v>2975</v>
      </c>
      <c r="F126" s="215" t="s">
        <v>2979</v>
      </c>
      <c r="G126" s="215" t="s">
        <v>2980</v>
      </c>
      <c r="H126" s="165"/>
      <c r="I126" s="216" t="s">
        <v>2982</v>
      </c>
      <c r="J126" s="216" t="s">
        <v>2984</v>
      </c>
      <c r="K126" s="215" t="s">
        <v>2983</v>
      </c>
    </row>
    <row r="127" spans="1:24">
      <c r="B127" s="123"/>
      <c r="C127" s="123"/>
      <c r="D127" s="111"/>
      <c r="E127" s="111"/>
      <c r="F127" s="124"/>
      <c r="G127" s="124"/>
      <c r="H127" s="164"/>
      <c r="I127" s="111"/>
      <c r="J127" s="123"/>
    </row>
    <row r="128" spans="1:24">
      <c r="A128" s="176">
        <v>1</v>
      </c>
      <c r="B128" s="178">
        <v>42094.409837962965</v>
      </c>
      <c r="C128" s="178">
        <v>42094.420497685183</v>
      </c>
      <c r="D128" s="179">
        <v>1.0067833333333334</v>
      </c>
      <c r="E128" s="179">
        <v>2.6939459223912325E-3</v>
      </c>
      <c r="F128" s="180"/>
      <c r="G128" s="180"/>
      <c r="H128" s="181"/>
      <c r="I128" s="217"/>
      <c r="J128" s="182"/>
      <c r="K128" s="183"/>
    </row>
    <row r="129" spans="1:24">
      <c r="A129" s="176">
        <v>2</v>
      </c>
      <c r="B129" s="178">
        <v>42094.447581018518</v>
      </c>
      <c r="C129" s="178">
        <v>42094.458240740743</v>
      </c>
      <c r="D129" s="179">
        <v>2.0055833333333331</v>
      </c>
      <c r="E129" s="179">
        <v>9.4405663911283869E-4</v>
      </c>
      <c r="F129" s="180"/>
      <c r="G129" s="180"/>
      <c r="H129" s="181"/>
      <c r="I129" s="217"/>
      <c r="J129" s="182"/>
      <c r="K129" s="183"/>
      <c r="V129" s="127"/>
    </row>
    <row r="130" spans="1:24">
      <c r="A130" s="176">
        <v>3</v>
      </c>
      <c r="B130" s="178">
        <v>42094.485150462962</v>
      </c>
      <c r="C130" s="178">
        <v>42094.495844907404</v>
      </c>
      <c r="D130" s="179">
        <v>3.0063833333333343</v>
      </c>
      <c r="E130" s="179">
        <v>7.6116918689186149E-4</v>
      </c>
      <c r="F130" s="180"/>
      <c r="G130" s="180"/>
      <c r="H130" s="181"/>
      <c r="I130" s="217"/>
      <c r="J130" s="182"/>
      <c r="K130" s="183"/>
    </row>
    <row r="131" spans="1:24">
      <c r="A131" s="176">
        <v>4</v>
      </c>
      <c r="B131" s="178">
        <v>42094.522928240738</v>
      </c>
      <c r="C131" s="178">
        <v>42094.533622685187</v>
      </c>
      <c r="D131" s="179">
        <v>4.0062666666666678</v>
      </c>
      <c r="E131" s="179">
        <v>6.6042273741156066E-4</v>
      </c>
      <c r="F131" s="180"/>
      <c r="G131" s="180"/>
      <c r="H131" s="184"/>
      <c r="I131" s="185"/>
      <c r="J131" s="182"/>
      <c r="K131" s="183"/>
    </row>
    <row r="132" spans="1:24">
      <c r="A132" s="176">
        <v>5</v>
      </c>
      <c r="B132" s="178">
        <v>42094.560706018521</v>
      </c>
      <c r="C132" s="178">
        <v>42094.571412037039</v>
      </c>
      <c r="D132" s="179">
        <v>5.0064166666666665</v>
      </c>
      <c r="E132" s="179">
        <v>7.1997332028394319E-4</v>
      </c>
      <c r="F132" s="180"/>
      <c r="G132" s="180"/>
      <c r="H132" s="184"/>
      <c r="I132" s="185"/>
      <c r="J132" s="182"/>
      <c r="K132" s="183"/>
    </row>
    <row r="133" spans="1:24">
      <c r="A133" s="176">
        <v>6</v>
      </c>
      <c r="B133" s="178">
        <v>42094.598668981482</v>
      </c>
      <c r="C133" s="178">
        <v>42094.609386574077</v>
      </c>
      <c r="D133" s="179">
        <v>6.0069000000000017</v>
      </c>
      <c r="E133" s="179">
        <v>6.0225564705251432E-4</v>
      </c>
      <c r="F133" s="180"/>
      <c r="G133" s="180"/>
      <c r="H133" s="184"/>
      <c r="I133" s="185"/>
      <c r="J133" s="182"/>
      <c r="K133" s="183"/>
    </row>
    <row r="134" spans="1:24">
      <c r="A134" s="176">
        <v>7</v>
      </c>
      <c r="B134" s="178">
        <v>42094.636458333334</v>
      </c>
      <c r="C134" s="178">
        <v>42094.647210648145</v>
      </c>
      <c r="D134" s="179">
        <v>7.0067666666666666</v>
      </c>
      <c r="E134" s="179">
        <v>5.9280049711376518E-4</v>
      </c>
      <c r="F134" s="180"/>
      <c r="G134" s="180"/>
      <c r="H134" s="184"/>
      <c r="I134" s="185"/>
      <c r="J134" s="182"/>
      <c r="K134" s="183"/>
    </row>
    <row r="135" spans="1:24" s="127" customFormat="1">
      <c r="A135" s="186"/>
      <c r="B135" s="187"/>
      <c r="C135" s="187"/>
      <c r="D135" s="188"/>
      <c r="E135" s="188"/>
      <c r="F135" s="188"/>
      <c r="G135" s="188"/>
      <c r="H135" s="189"/>
      <c r="I135" s="220"/>
      <c r="J135" s="221"/>
      <c r="K135" s="185"/>
      <c r="M135" s="119"/>
      <c r="N135" s="111"/>
      <c r="O135" s="111"/>
      <c r="P135" s="111"/>
      <c r="Q135" s="111"/>
      <c r="R135" s="111"/>
      <c r="S135" s="111"/>
      <c r="T135" s="111"/>
      <c r="U135" s="111"/>
      <c r="V135" s="111"/>
      <c r="W135" s="111"/>
      <c r="X135" s="111"/>
    </row>
    <row r="136" spans="1:24">
      <c r="A136" s="170"/>
      <c r="B136" s="167"/>
      <c r="C136" s="191"/>
      <c r="D136" s="192"/>
      <c r="E136" s="192"/>
      <c r="F136" s="193"/>
      <c r="G136" s="193"/>
      <c r="H136" s="194"/>
      <c r="I136" s="222"/>
      <c r="J136" s="221"/>
      <c r="K136" s="183"/>
      <c r="X136" s="127"/>
    </row>
    <row r="137" spans="1:24">
      <c r="A137" s="190"/>
      <c r="B137" s="195"/>
      <c r="C137" s="196"/>
      <c r="D137" s="197"/>
      <c r="E137" s="197"/>
      <c r="F137" s="198"/>
      <c r="G137" s="198"/>
      <c r="H137" s="199"/>
      <c r="I137" s="222"/>
      <c r="J137" s="221"/>
      <c r="K137" s="185"/>
    </row>
    <row r="138" spans="1:24">
      <c r="A138" s="170"/>
      <c r="B138" s="200"/>
      <c r="C138" s="200"/>
      <c r="D138" s="170"/>
      <c r="E138" s="170"/>
      <c r="F138" s="201"/>
      <c r="G138" s="201"/>
      <c r="H138" s="184"/>
      <c r="I138" s="223"/>
      <c r="J138" s="221"/>
      <c r="K138" s="183"/>
    </row>
    <row r="140" spans="1:24">
      <c r="A140" s="202" t="s">
        <v>2958</v>
      </c>
      <c r="B140" s="203"/>
      <c r="C140" s="204"/>
      <c r="D140" s="205"/>
      <c r="E140" s="205"/>
      <c r="F140" s="202"/>
      <c r="G140" s="203"/>
      <c r="H140" s="206"/>
      <c r="I140" s="202"/>
      <c r="J140" s="203"/>
      <c r="K140" s="207"/>
      <c r="W140" s="127"/>
    </row>
    <row r="141" spans="1:24" ht="25.5">
      <c r="A141" s="216" t="s">
        <v>2985</v>
      </c>
      <c r="B141" s="129" t="s">
        <v>55</v>
      </c>
      <c r="C141" s="129" t="s">
        <v>56</v>
      </c>
      <c r="D141" s="214" t="s">
        <v>2974</v>
      </c>
      <c r="E141" s="214" t="s">
        <v>2975</v>
      </c>
      <c r="F141" s="215" t="s">
        <v>2979</v>
      </c>
      <c r="G141" s="215" t="s">
        <v>2980</v>
      </c>
      <c r="H141" s="165"/>
      <c r="I141" s="216" t="s">
        <v>2982</v>
      </c>
      <c r="J141" s="216" t="s">
        <v>2984</v>
      </c>
      <c r="K141" s="215" t="s">
        <v>2983</v>
      </c>
    </row>
    <row r="142" spans="1:24">
      <c r="B142" s="123"/>
      <c r="C142" s="123"/>
      <c r="D142" s="111"/>
      <c r="E142" s="111"/>
      <c r="F142" s="124"/>
      <c r="G142" s="124"/>
      <c r="H142" s="164"/>
      <c r="I142" s="111"/>
      <c r="J142" s="123"/>
    </row>
    <row r="143" spans="1:24">
      <c r="A143" s="176">
        <v>1</v>
      </c>
      <c r="B143" s="178">
        <v>42094.409837962965</v>
      </c>
      <c r="C143" s="178">
        <v>42094.420497685183</v>
      </c>
      <c r="D143" s="179">
        <v>1.0067833333333334</v>
      </c>
      <c r="E143" s="179">
        <v>2.6939459223912325E-3</v>
      </c>
      <c r="F143" s="180"/>
      <c r="G143" s="180"/>
      <c r="H143" s="181"/>
      <c r="I143" s="217"/>
      <c r="J143" s="182"/>
      <c r="K143" s="183"/>
    </row>
    <row r="144" spans="1:24">
      <c r="A144" s="176">
        <v>2</v>
      </c>
      <c r="B144" s="178">
        <v>42094.447581018518</v>
      </c>
      <c r="C144" s="178">
        <v>42094.458240740743</v>
      </c>
      <c r="D144" s="179">
        <v>2.0055833333333331</v>
      </c>
      <c r="E144" s="179">
        <v>9.4405663911283869E-4</v>
      </c>
      <c r="F144" s="180"/>
      <c r="G144" s="180"/>
      <c r="H144" s="181"/>
      <c r="I144" s="217"/>
      <c r="J144" s="182"/>
      <c r="K144" s="183"/>
    </row>
    <row r="145" spans="1:24">
      <c r="A145" s="176">
        <v>3</v>
      </c>
      <c r="B145" s="178">
        <v>42094.485150462962</v>
      </c>
      <c r="C145" s="178">
        <v>42094.495844907404</v>
      </c>
      <c r="D145" s="179">
        <v>3.0063833333333343</v>
      </c>
      <c r="E145" s="179">
        <v>7.6116918689186149E-4</v>
      </c>
      <c r="F145" s="180"/>
      <c r="G145" s="180"/>
      <c r="H145" s="181"/>
      <c r="I145" s="217"/>
      <c r="J145" s="182"/>
      <c r="K145" s="183"/>
    </row>
    <row r="146" spans="1:24">
      <c r="A146" s="176">
        <v>4</v>
      </c>
      <c r="B146" s="178">
        <v>42094.522928240738</v>
      </c>
      <c r="C146" s="178">
        <v>42094.533622685187</v>
      </c>
      <c r="D146" s="179">
        <v>4.0062666666666678</v>
      </c>
      <c r="E146" s="179">
        <v>6.6042273741156066E-4</v>
      </c>
      <c r="F146" s="180"/>
      <c r="G146" s="180"/>
      <c r="H146" s="184"/>
      <c r="I146" s="185"/>
      <c r="J146" s="182"/>
      <c r="K146" s="183"/>
    </row>
    <row r="147" spans="1:24">
      <c r="A147" s="176">
        <v>5</v>
      </c>
      <c r="B147" s="178">
        <v>42094.560706018521</v>
      </c>
      <c r="C147" s="178">
        <v>42094.571412037039</v>
      </c>
      <c r="D147" s="179">
        <v>5.0064166666666665</v>
      </c>
      <c r="E147" s="179">
        <v>7.1997332028394319E-4</v>
      </c>
      <c r="F147" s="180"/>
      <c r="G147" s="180"/>
      <c r="H147" s="184"/>
      <c r="I147" s="185"/>
      <c r="J147" s="182"/>
      <c r="K147" s="183"/>
    </row>
    <row r="148" spans="1:24">
      <c r="A148" s="176">
        <v>6</v>
      </c>
      <c r="B148" s="178">
        <v>42094.598668981482</v>
      </c>
      <c r="C148" s="178">
        <v>42094.609386574077</v>
      </c>
      <c r="D148" s="179">
        <v>6.0069000000000017</v>
      </c>
      <c r="E148" s="179">
        <v>6.0225564705251432E-4</v>
      </c>
      <c r="F148" s="180"/>
      <c r="G148" s="180"/>
      <c r="H148" s="184"/>
      <c r="I148" s="185"/>
      <c r="J148" s="182"/>
      <c r="K148" s="183"/>
    </row>
    <row r="149" spans="1:24">
      <c r="A149" s="176">
        <v>7</v>
      </c>
      <c r="B149" s="178">
        <v>42094.636458333334</v>
      </c>
      <c r="C149" s="178">
        <v>42094.647210648145</v>
      </c>
      <c r="D149" s="179">
        <v>7.0067666666666666</v>
      </c>
      <c r="E149" s="179">
        <v>5.9280049711376518E-4</v>
      </c>
      <c r="F149" s="180"/>
      <c r="G149" s="180"/>
      <c r="H149" s="184"/>
      <c r="I149" s="185"/>
      <c r="J149" s="182"/>
      <c r="K149" s="183"/>
    </row>
    <row r="150" spans="1:24" s="127" customFormat="1">
      <c r="A150" s="186"/>
      <c r="B150" s="187"/>
      <c r="C150" s="187"/>
      <c r="D150" s="188"/>
      <c r="E150" s="188"/>
      <c r="F150" s="188"/>
      <c r="G150" s="188"/>
      <c r="H150" s="189"/>
      <c r="I150" s="220"/>
      <c r="J150" s="221"/>
      <c r="K150" s="185"/>
      <c r="M150" s="119"/>
      <c r="N150" s="111"/>
      <c r="O150" s="111"/>
      <c r="P150" s="111"/>
      <c r="Q150" s="111"/>
      <c r="R150" s="111"/>
      <c r="S150" s="111"/>
      <c r="T150" s="111"/>
      <c r="U150" s="111"/>
      <c r="V150" s="111"/>
      <c r="W150" s="111"/>
      <c r="X150" s="111"/>
    </row>
    <row r="151" spans="1:24">
      <c r="A151" s="170"/>
      <c r="B151" s="167"/>
      <c r="C151" s="191"/>
      <c r="D151" s="192"/>
      <c r="E151" s="192"/>
      <c r="F151" s="193"/>
      <c r="G151" s="193"/>
      <c r="H151" s="194"/>
      <c r="I151" s="222"/>
      <c r="J151" s="221"/>
      <c r="K151" s="183"/>
      <c r="X151" s="127"/>
    </row>
    <row r="152" spans="1:24">
      <c r="A152" s="190"/>
      <c r="B152" s="195"/>
      <c r="C152" s="196"/>
      <c r="D152" s="197"/>
      <c r="E152" s="197"/>
      <c r="F152" s="198"/>
      <c r="G152" s="198"/>
      <c r="H152" s="199"/>
      <c r="I152" s="222"/>
      <c r="J152" s="221"/>
      <c r="K152" s="185"/>
    </row>
    <row r="153" spans="1:24">
      <c r="A153" s="170"/>
      <c r="B153" s="200"/>
      <c r="C153" s="200"/>
      <c r="D153" s="170"/>
      <c r="E153" s="170"/>
      <c r="F153" s="201"/>
      <c r="G153" s="201"/>
      <c r="H153" s="184"/>
      <c r="I153" s="223"/>
      <c r="J153" s="221"/>
      <c r="K153" s="183"/>
    </row>
    <row r="157" spans="1:24">
      <c r="W157" s="127"/>
    </row>
    <row r="167" spans="1:24" s="127" customFormat="1">
      <c r="A167" s="111"/>
      <c r="B167" s="117"/>
      <c r="C167" s="119"/>
      <c r="D167" s="120"/>
      <c r="E167" s="120"/>
      <c r="F167" s="121"/>
      <c r="G167" s="121"/>
      <c r="H167" s="163"/>
      <c r="I167" s="119"/>
      <c r="J167" s="122"/>
      <c r="K167" s="121"/>
      <c r="M167" s="119"/>
      <c r="N167" s="111"/>
      <c r="O167" s="111"/>
      <c r="P167" s="111"/>
      <c r="Q167" s="111"/>
      <c r="R167" s="111"/>
      <c r="S167" s="111"/>
      <c r="T167" s="111"/>
      <c r="U167" s="111"/>
      <c r="V167" s="111"/>
      <c r="W167" s="111"/>
      <c r="X167" s="111"/>
    </row>
    <row r="168" spans="1:24">
      <c r="X168" s="127"/>
    </row>
    <row r="182" spans="1:24" s="127" customFormat="1">
      <c r="A182" s="111"/>
      <c r="B182" s="117"/>
      <c r="C182" s="119"/>
      <c r="D182" s="120"/>
      <c r="E182" s="120"/>
      <c r="F182" s="121"/>
      <c r="G182" s="121"/>
      <c r="H182" s="163"/>
      <c r="I182" s="119"/>
      <c r="J182" s="122"/>
      <c r="K182" s="121"/>
      <c r="M182" s="119"/>
      <c r="N182" s="111"/>
      <c r="O182" s="111"/>
      <c r="P182" s="111"/>
      <c r="Q182" s="111"/>
      <c r="R182" s="111"/>
      <c r="S182" s="111"/>
      <c r="T182" s="111"/>
      <c r="U182" s="111"/>
      <c r="V182" s="111"/>
      <c r="W182" s="111"/>
      <c r="X182" s="111"/>
    </row>
    <row r="183" spans="1:24">
      <c r="X183" s="127"/>
    </row>
    <row r="197" spans="1:24" s="127" customFormat="1">
      <c r="A197" s="111"/>
      <c r="B197" s="117"/>
      <c r="C197" s="119"/>
      <c r="D197" s="120"/>
      <c r="E197" s="120"/>
      <c r="F197" s="121"/>
      <c r="G197" s="121"/>
      <c r="H197" s="163"/>
      <c r="I197" s="119"/>
      <c r="J197" s="122"/>
      <c r="K197" s="121"/>
      <c r="M197" s="119"/>
      <c r="N197" s="111"/>
      <c r="O197" s="111"/>
      <c r="P197" s="111"/>
      <c r="Q197" s="111"/>
      <c r="R197" s="111"/>
      <c r="S197" s="111"/>
      <c r="T197" s="111"/>
      <c r="U197" s="111"/>
      <c r="V197" s="111"/>
      <c r="W197" s="111"/>
      <c r="X197" s="111"/>
    </row>
    <row r="198" spans="1:24">
      <c r="X198" s="127"/>
    </row>
    <row r="212" spans="1:24" s="127" customFormat="1">
      <c r="A212" s="111"/>
      <c r="B212" s="117"/>
      <c r="C212" s="119"/>
      <c r="D212" s="120"/>
      <c r="E212" s="120"/>
      <c r="F212" s="121"/>
      <c r="G212" s="121"/>
      <c r="H212" s="163"/>
      <c r="I212" s="119"/>
      <c r="J212" s="122"/>
      <c r="K212" s="121"/>
      <c r="M212" s="119"/>
      <c r="N212" s="111"/>
      <c r="O212" s="111"/>
      <c r="P212" s="111"/>
      <c r="Q212" s="111"/>
      <c r="R212" s="111"/>
      <c r="S212" s="111"/>
      <c r="T212" s="111"/>
      <c r="U212" s="111"/>
      <c r="V212" s="111"/>
      <c r="W212" s="111"/>
      <c r="X212" s="111"/>
    </row>
    <row r="213" spans="1:24">
      <c r="X213" s="127"/>
    </row>
    <row r="227" spans="1:24" s="127" customFormat="1">
      <c r="A227" s="111"/>
      <c r="B227" s="117"/>
      <c r="C227" s="119"/>
      <c r="D227" s="120"/>
      <c r="E227" s="120"/>
      <c r="F227" s="121"/>
      <c r="G227" s="121"/>
      <c r="H227" s="163"/>
      <c r="I227" s="119"/>
      <c r="J227" s="122"/>
      <c r="K227" s="121"/>
      <c r="M227" s="119"/>
      <c r="N227" s="111"/>
      <c r="O227" s="111"/>
      <c r="P227" s="111"/>
      <c r="Q227" s="111"/>
      <c r="R227" s="111"/>
      <c r="S227" s="111"/>
      <c r="T227" s="111"/>
      <c r="U227" s="111"/>
      <c r="V227" s="111"/>
      <c r="W227" s="111"/>
      <c r="X227" s="111"/>
    </row>
  </sheetData>
  <sortState ref="M19:T28">
    <sortCondition ref="S19:S28"/>
  </sortState>
  <printOptions horizontalCentered="1"/>
  <pageMargins left="0.21" right="0.2" top="0.5" bottom="0.21" header="0.28000000000000003" footer="0.21"/>
  <pageSetup scale="73" orientation="landscape" horizontalDpi="355" verticalDpi="464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468"/>
  <sheetViews>
    <sheetView tabSelected="1" zoomScale="80" zoomScaleNormal="75" workbookViewId="0">
      <pane ySplit="1" topLeftCell="A2" activePane="bottomLeft" state="frozen"/>
      <selection pane="bottomLeft" activeCell="F288" sqref="F288"/>
    </sheetView>
  </sheetViews>
  <sheetFormatPr defaultColWidth="12.42578125" defaultRowHeight="15.75"/>
  <cols>
    <col min="1" max="1" width="11" style="8" customWidth="1"/>
    <col min="2" max="2" width="17.42578125" style="10" customWidth="1"/>
    <col min="3" max="3" width="16.7109375" style="10" customWidth="1"/>
    <col min="4" max="4" width="16.42578125" style="10" customWidth="1"/>
    <col min="5" max="5" width="17.28515625" style="59" customWidth="1"/>
    <col min="6" max="6" width="15.85546875" style="1" customWidth="1"/>
    <col min="7" max="7" width="15" style="53" customWidth="1"/>
    <col min="8" max="8" width="14.5703125" style="1" customWidth="1"/>
    <col min="9" max="9" width="31.28515625" style="1" customWidth="1"/>
    <col min="10" max="10" width="11.5703125" style="80" customWidth="1"/>
    <col min="11" max="11" width="14.85546875" style="80" customWidth="1"/>
    <col min="12" max="12" width="22.5703125" style="85" customWidth="1"/>
    <col min="13" max="13" width="22.5703125" style="4" customWidth="1"/>
    <col min="14" max="14" width="22.5703125" customWidth="1"/>
    <col min="15" max="15" width="22.5703125" style="4" customWidth="1"/>
    <col min="16" max="16" width="18.85546875" style="4" customWidth="1"/>
    <col min="17" max="17" width="17" style="4" customWidth="1"/>
    <col min="18" max="18" width="31.140625" style="4" customWidth="1"/>
    <col min="19" max="16384" width="12.42578125" style="4"/>
  </cols>
  <sheetData>
    <row r="1" spans="1:17" s="8" customFormat="1" ht="12.75">
      <c r="A1" s="5" t="s">
        <v>19</v>
      </c>
      <c r="B1" s="6" t="s">
        <v>20</v>
      </c>
      <c r="C1" s="6" t="s">
        <v>21</v>
      </c>
      <c r="D1" s="6" t="s">
        <v>22</v>
      </c>
      <c r="E1" s="58" t="s">
        <v>23</v>
      </c>
      <c r="F1" s="5" t="s">
        <v>2993</v>
      </c>
      <c r="G1" s="52" t="s">
        <v>25</v>
      </c>
      <c r="H1" s="7" t="s">
        <v>24</v>
      </c>
      <c r="I1" s="7" t="s">
        <v>24</v>
      </c>
      <c r="J1" s="80"/>
      <c r="K1" s="80"/>
      <c r="L1" s="81"/>
    </row>
    <row r="2" spans="1:17" s="3" customFormat="1">
      <c r="A2" s="8">
        <v>2000</v>
      </c>
      <c r="B2" s="10">
        <v>1.8115672665747401E-2</v>
      </c>
      <c r="C2" s="10">
        <v>-4.8825952420941702E-3</v>
      </c>
      <c r="D2" s="10">
        <v>7.8656082490968999E-5</v>
      </c>
      <c r="E2" s="59">
        <v>36753</v>
      </c>
      <c r="F2" s="11" t="s">
        <v>3</v>
      </c>
      <c r="G2" s="53">
        <v>5.2700000000000004E-3</v>
      </c>
      <c r="H2" s="50" t="s">
        <v>4</v>
      </c>
      <c r="I2" s="12"/>
      <c r="J2" s="82"/>
      <c r="K2" s="82"/>
      <c r="L2" s="79"/>
    </row>
    <row r="3" spans="1:17" s="3" customFormat="1">
      <c r="A3" s="8">
        <v>2001</v>
      </c>
      <c r="B3" s="10">
        <v>1.7585475643088499E-2</v>
      </c>
      <c r="C3" s="10">
        <v>-4.6968194379060097E-3</v>
      </c>
      <c r="D3" s="10">
        <v>7.5311913477812893E-5</v>
      </c>
      <c r="E3" s="59">
        <v>36753</v>
      </c>
      <c r="F3" s="11" t="s">
        <v>3</v>
      </c>
      <c r="G3" s="53">
        <v>3.49E-2</v>
      </c>
      <c r="H3" s="51" t="s">
        <v>4</v>
      </c>
      <c r="I3" s="1"/>
      <c r="J3" s="82"/>
      <c r="K3" s="82"/>
      <c r="L3" s="79"/>
    </row>
    <row r="4" spans="1:17" s="3" customFormat="1">
      <c r="A4" s="8">
        <v>2003</v>
      </c>
      <c r="B4" s="10"/>
      <c r="C4" s="10"/>
      <c r="D4" s="10"/>
      <c r="E4" s="59"/>
      <c r="G4" s="53"/>
      <c r="H4" s="50" t="s">
        <v>5</v>
      </c>
      <c r="I4" s="1"/>
      <c r="J4" s="82"/>
      <c r="K4" s="82"/>
      <c r="L4" s="79"/>
    </row>
    <row r="5" spans="1:17" s="3" customFormat="1">
      <c r="A5" s="8">
        <v>2006</v>
      </c>
      <c r="B5" s="10">
        <v>1.80125804869413E-2</v>
      </c>
      <c r="C5" s="10">
        <v>-4.8262480378778597E-3</v>
      </c>
      <c r="D5" s="10">
        <v>7.6663076418990298E-5</v>
      </c>
      <c r="E5" s="59">
        <v>36753</v>
      </c>
      <c r="F5" s="11" t="s">
        <v>3</v>
      </c>
      <c r="G5" s="53">
        <v>7.1599999999999997E-2</v>
      </c>
      <c r="H5" s="50" t="s">
        <v>4</v>
      </c>
      <c r="I5" s="1"/>
      <c r="J5" s="83"/>
      <c r="K5" s="83"/>
      <c r="L5" s="79"/>
    </row>
    <row r="6" spans="1:17" s="3" customFormat="1">
      <c r="A6" s="8">
        <v>3004</v>
      </c>
      <c r="B6" s="10">
        <v>8.9334723552065599E-4</v>
      </c>
      <c r="C6" s="10">
        <v>6.0432796154518201E-4</v>
      </c>
      <c r="D6" s="10">
        <v>8.5876198320874004E-7</v>
      </c>
      <c r="E6" s="59">
        <v>41513</v>
      </c>
      <c r="F6" s="11" t="s">
        <v>45</v>
      </c>
      <c r="G6" s="53">
        <v>0.15369829527422499</v>
      </c>
      <c r="H6" s="50" t="s">
        <v>33</v>
      </c>
      <c r="I6" s="1"/>
      <c r="J6" s="83"/>
      <c r="K6" s="83"/>
      <c r="L6" s="79"/>
    </row>
    <row r="7" spans="1:17" s="3" customFormat="1">
      <c r="A7" s="93">
        <v>3004</v>
      </c>
      <c r="B7" s="10">
        <v>9.57793178598097E-4</v>
      </c>
      <c r="C7" s="10">
        <v>5.8079814906623504E-4</v>
      </c>
      <c r="D7" s="10">
        <v>1.3202157778074799E-6</v>
      </c>
      <c r="E7" s="59">
        <v>41131</v>
      </c>
      <c r="F7" s="11" t="s">
        <v>44</v>
      </c>
      <c r="G7" s="53">
        <v>-0.13965746965492101</v>
      </c>
      <c r="H7" s="50" t="s">
        <v>33</v>
      </c>
      <c r="I7" s="1"/>
      <c r="J7" s="95"/>
      <c r="K7" s="48"/>
      <c r="L7" s="105"/>
      <c r="M7" s="48"/>
      <c r="N7" s="48"/>
      <c r="O7" s="48"/>
      <c r="P7" s="48"/>
    </row>
    <row r="8" spans="1:17">
      <c r="A8" s="8">
        <v>3004</v>
      </c>
      <c r="B8" s="10">
        <v>1.1258039591196399E-3</v>
      </c>
      <c r="C8" s="10">
        <v>5.2113857924278805E-4</v>
      </c>
      <c r="D8" s="10">
        <v>2.4319929157163502E-6</v>
      </c>
      <c r="E8" s="62">
        <v>38399</v>
      </c>
      <c r="F8" s="75" t="s">
        <v>36</v>
      </c>
      <c r="G8" s="76">
        <v>5.9759292506011996E-4</v>
      </c>
      <c r="H8" s="77" t="s">
        <v>37</v>
      </c>
      <c r="J8" s="93"/>
      <c r="K8" s="10"/>
      <c r="L8" s="10"/>
      <c r="M8" s="10"/>
      <c r="N8" s="59"/>
      <c r="O8" s="11"/>
      <c r="P8" s="53"/>
      <c r="Q8" s="50"/>
    </row>
    <row r="9" spans="1:17">
      <c r="A9" s="8">
        <v>3004</v>
      </c>
      <c r="B9" s="10">
        <v>1.12432120958257E-3</v>
      </c>
      <c r="C9" s="10">
        <v>5.2151379999518699E-4</v>
      </c>
      <c r="D9" s="10">
        <v>2.4306807735462201E-6</v>
      </c>
      <c r="E9" s="59">
        <v>36723</v>
      </c>
      <c r="F9" s="11" t="s">
        <v>10</v>
      </c>
      <c r="G9" s="53">
        <v>-1.80302803300147E-3</v>
      </c>
      <c r="H9" s="50"/>
      <c r="P9" s="53"/>
      <c r="Q9" s="50"/>
    </row>
    <row r="10" spans="1:17" s="3" customFormat="1">
      <c r="A10" s="8">
        <v>3005</v>
      </c>
      <c r="B10" s="10">
        <v>8.5839458048858901E-4</v>
      </c>
      <c r="C10" s="10">
        <v>6.1112649658916001E-4</v>
      </c>
      <c r="D10" s="10">
        <v>7.3930543551746501E-7</v>
      </c>
      <c r="E10" s="59">
        <v>38944</v>
      </c>
      <c r="F10" s="41" t="s">
        <v>35</v>
      </c>
      <c r="G10" s="53">
        <v>0.16991072072198701</v>
      </c>
      <c r="H10" s="50" t="s">
        <v>33</v>
      </c>
      <c r="I10" s="1"/>
    </row>
    <row r="11" spans="1:17" s="3" customFormat="1">
      <c r="A11" s="13">
        <v>3005</v>
      </c>
      <c r="B11" s="14">
        <v>1.1078171068767699E-3</v>
      </c>
      <c r="C11" s="14">
        <v>5.2185899283890998E-4</v>
      </c>
      <c r="D11" s="14">
        <v>2.4266416913075601E-6</v>
      </c>
      <c r="E11" s="61">
        <v>36723</v>
      </c>
      <c r="F11" s="15" t="s">
        <v>10</v>
      </c>
      <c r="G11" s="54">
        <v>-3.52663503610184E-3</v>
      </c>
      <c r="H11" s="50"/>
      <c r="I11" s="1"/>
    </row>
    <row r="12" spans="1:17" s="79" customFormat="1">
      <c r="A12" s="68">
        <v>3007</v>
      </c>
      <c r="B12" s="69">
        <v>8.0317068186556997E-2</v>
      </c>
      <c r="C12" s="69">
        <v>-3.5310966602395501E-2</v>
      </c>
      <c r="D12" s="69">
        <v>1.0756829349895601E-3</v>
      </c>
      <c r="E12" s="70">
        <v>38944</v>
      </c>
      <c r="F12" s="71" t="s">
        <v>35</v>
      </c>
      <c r="G12" s="72">
        <v>-5.0735899704491603</v>
      </c>
      <c r="H12" s="73" t="s">
        <v>33</v>
      </c>
      <c r="I12" s="78"/>
    </row>
    <row r="13" spans="1:17" s="3" customFormat="1">
      <c r="A13" s="74">
        <v>3007</v>
      </c>
      <c r="B13" s="40">
        <v>1.0924237274678699E-3</v>
      </c>
      <c r="C13" s="40">
        <v>5.3564118082290396E-4</v>
      </c>
      <c r="D13" s="40">
        <v>2.1776700785841601E-6</v>
      </c>
      <c r="E13" s="62">
        <v>38399</v>
      </c>
      <c r="F13" s="75" t="s">
        <v>36</v>
      </c>
      <c r="G13" s="76">
        <v>-1.03337882098398E-3</v>
      </c>
      <c r="H13" s="77" t="s">
        <v>37</v>
      </c>
      <c r="I13" s="1"/>
    </row>
    <row r="14" spans="1:17" s="3" customFormat="1">
      <c r="A14" s="8">
        <v>3007</v>
      </c>
      <c r="B14" s="10">
        <v>1.1213696557239401E-3</v>
      </c>
      <c r="C14" s="10">
        <v>5.2612934048769996E-4</v>
      </c>
      <c r="D14" s="10">
        <v>2.32883906160094E-6</v>
      </c>
      <c r="E14" s="59">
        <v>36723</v>
      </c>
      <c r="F14" s="11" t="s">
        <v>10</v>
      </c>
      <c r="G14" s="53">
        <v>-2.68842154825477E-3</v>
      </c>
      <c r="H14" s="50"/>
      <c r="I14" s="1"/>
    </row>
    <row r="15" spans="1:17" s="3" customFormat="1">
      <c r="A15" s="8">
        <v>3026</v>
      </c>
      <c r="B15" s="10">
        <v>8.8063085241223398E-4</v>
      </c>
      <c r="C15" s="10">
        <v>6.0811417372763198E-4</v>
      </c>
      <c r="D15" s="10">
        <v>7.7606412670895902E-7</v>
      </c>
      <c r="E15" s="59">
        <v>39274</v>
      </c>
      <c r="F15" s="41" t="s">
        <v>38</v>
      </c>
      <c r="G15" s="53">
        <v>0.15806999999999999</v>
      </c>
      <c r="H15" s="50" t="s">
        <v>39</v>
      </c>
      <c r="I15" s="1"/>
    </row>
    <row r="16" spans="1:17" s="3" customFormat="1">
      <c r="A16" s="8">
        <v>3026</v>
      </c>
      <c r="B16" s="10">
        <v>8.7636431858941302E-4</v>
      </c>
      <c r="C16" s="10">
        <v>6.0970388835610598E-4</v>
      </c>
      <c r="D16" s="10">
        <v>7.4514453306038704E-7</v>
      </c>
      <c r="E16" s="60">
        <v>38212</v>
      </c>
      <c r="F16" s="41" t="s">
        <v>34</v>
      </c>
      <c r="G16" s="53">
        <v>0.161019529625889</v>
      </c>
      <c r="H16" s="50" t="s">
        <v>33</v>
      </c>
      <c r="I16" s="1"/>
    </row>
    <row r="17" spans="1:17" s="3" customFormat="1">
      <c r="A17" s="8">
        <v>3026</v>
      </c>
      <c r="B17" s="10">
        <v>8.6842725304849097E-4</v>
      </c>
      <c r="C17" s="10">
        <v>6.12823043202349E-4</v>
      </c>
      <c r="D17" s="10">
        <v>6.7368632404827902E-7</v>
      </c>
      <c r="E17" s="59">
        <v>37145</v>
      </c>
      <c r="F17" s="41" t="s">
        <v>27</v>
      </c>
      <c r="G17" s="53">
        <v>0.158596971999557</v>
      </c>
      <c r="H17" s="50" t="s">
        <v>28</v>
      </c>
      <c r="I17" s="1"/>
    </row>
    <row r="18" spans="1:17" s="3" customFormat="1">
      <c r="A18" s="8">
        <v>3028</v>
      </c>
      <c r="B18" s="10">
        <v>9.0359210720687103E-4</v>
      </c>
      <c r="C18" s="10">
        <v>5.9419353291417299E-4</v>
      </c>
      <c r="D18" s="10">
        <v>1.01740324443688E-6</v>
      </c>
      <c r="E18" s="59">
        <v>41513</v>
      </c>
      <c r="F18" s="41" t="s">
        <v>45</v>
      </c>
      <c r="G18" s="53">
        <v>0.14211105676569999</v>
      </c>
      <c r="H18" s="50" t="s">
        <v>28</v>
      </c>
      <c r="I18" s="1"/>
    </row>
    <row r="19" spans="1:17" s="3" customFormat="1">
      <c r="A19" s="93">
        <v>3028</v>
      </c>
      <c r="B19" s="10">
        <v>9.6859637727402697E-4</v>
      </c>
      <c r="C19" s="10">
        <v>5.7064898029305202E-4</v>
      </c>
      <c r="D19" s="10">
        <v>1.4714390204362801E-6</v>
      </c>
      <c r="E19" s="59">
        <v>41131</v>
      </c>
      <c r="F19" s="11" t="s">
        <v>44</v>
      </c>
      <c r="G19" s="53">
        <v>-0.13385080145273801</v>
      </c>
      <c r="H19" s="50" t="s">
        <v>33</v>
      </c>
      <c r="I19" s="1"/>
    </row>
    <row r="20" spans="1:17" s="3" customFormat="1">
      <c r="A20" s="8">
        <v>3028</v>
      </c>
      <c r="B20" s="10">
        <v>1.05990269023702E-3</v>
      </c>
      <c r="C20" s="10">
        <v>5.3786788285854498E-4</v>
      </c>
      <c r="D20" s="10">
        <v>2.0938419204508898E-6</v>
      </c>
      <c r="E20" s="62">
        <v>38399</v>
      </c>
      <c r="F20" s="75" t="s">
        <v>36</v>
      </c>
      <c r="G20" s="76">
        <v>8.2164241737725497E-4</v>
      </c>
      <c r="H20" s="77" t="s">
        <v>37</v>
      </c>
      <c r="I20" s="1"/>
    </row>
    <row r="21" spans="1:17" s="3" customFormat="1">
      <c r="A21" s="8">
        <v>3028</v>
      </c>
      <c r="B21" s="10">
        <v>8.6842725304849097E-4</v>
      </c>
      <c r="C21" s="10">
        <v>6.12823043202349E-4</v>
      </c>
      <c r="D21" s="10">
        <v>6.7368632404827902E-7</v>
      </c>
      <c r="E21" s="59">
        <v>37145</v>
      </c>
      <c r="F21" s="41"/>
      <c r="G21" s="53"/>
      <c r="H21" s="50" t="s">
        <v>31</v>
      </c>
      <c r="I21" s="1"/>
    </row>
    <row r="22" spans="1:17" s="3" customFormat="1">
      <c r="A22" s="8">
        <v>3029</v>
      </c>
      <c r="B22" s="10">
        <v>9.0064635356517698E-4</v>
      </c>
      <c r="C22" s="10">
        <v>5.9676364451549105E-4</v>
      </c>
      <c r="D22" s="10">
        <v>1.1382762962763301E-6</v>
      </c>
      <c r="E22" s="59">
        <v>36754</v>
      </c>
      <c r="F22" s="11" t="s">
        <v>11</v>
      </c>
      <c r="G22" s="53">
        <v>6.66709694234968E-3</v>
      </c>
      <c r="H22" s="50"/>
      <c r="I22" s="1"/>
    </row>
    <row r="23" spans="1:17" s="3" customFormat="1">
      <c r="A23" s="13">
        <v>3031</v>
      </c>
      <c r="B23" s="14">
        <v>1.0984517361148E-3</v>
      </c>
      <c r="C23" s="14">
        <v>5.3087329684090197E-4</v>
      </c>
      <c r="D23" s="14">
        <v>2.26837181984262E-6</v>
      </c>
      <c r="E23" s="61">
        <v>36723</v>
      </c>
      <c r="F23" s="15" t="s">
        <v>10</v>
      </c>
      <c r="G23" s="54">
        <v>-1.13387718293523E-3</v>
      </c>
      <c r="H23" s="50"/>
      <c r="I23" s="1"/>
    </row>
    <row r="24" spans="1:17" s="3" customFormat="1">
      <c r="A24" s="93">
        <v>3039</v>
      </c>
      <c r="B24" s="10">
        <v>9.8686738896776099E-4</v>
      </c>
      <c r="C24" s="10">
        <v>5.7155772304666496E-4</v>
      </c>
      <c r="D24" s="10">
        <v>1.4347051953438099E-6</v>
      </c>
      <c r="E24" s="59">
        <v>40206</v>
      </c>
      <c r="F24" s="86" t="s">
        <v>0</v>
      </c>
      <c r="G24" s="87">
        <v>0.130765033288569</v>
      </c>
      <c r="H24" s="50" t="s">
        <v>33</v>
      </c>
      <c r="I24" s="1"/>
    </row>
    <row r="25" spans="1:17" s="3" customFormat="1">
      <c r="A25" s="13">
        <v>3039</v>
      </c>
      <c r="B25" s="14">
        <v>9.8040676133626602E-4</v>
      </c>
      <c r="C25" s="14">
        <v>5.7387250703745001E-4</v>
      </c>
      <c r="D25" s="14">
        <v>1.38946366157229E-6</v>
      </c>
      <c r="E25" s="59">
        <v>39274</v>
      </c>
      <c r="F25" s="41" t="s">
        <v>38</v>
      </c>
      <c r="G25" s="53">
        <v>0.13128999999999999</v>
      </c>
      <c r="H25" s="50" t="s">
        <v>39</v>
      </c>
      <c r="I25" s="1"/>
      <c r="P25" s="53"/>
      <c r="Q25" s="50"/>
    </row>
    <row r="26" spans="1:17" s="3" customFormat="1">
      <c r="A26" s="13">
        <v>3039</v>
      </c>
      <c r="B26" s="14">
        <v>9.8129059170645196E-4</v>
      </c>
      <c r="C26" s="14">
        <v>5.7361743096650305E-4</v>
      </c>
      <c r="D26" s="14">
        <v>1.3927662950475201E-6</v>
      </c>
      <c r="E26" s="60">
        <v>38212</v>
      </c>
      <c r="F26" s="41" t="s">
        <v>34</v>
      </c>
      <c r="G26" s="53">
        <v>0.125907899381559</v>
      </c>
      <c r="H26" s="50" t="s">
        <v>33</v>
      </c>
      <c r="I26" s="1"/>
      <c r="Q26" s="20"/>
    </row>
    <row r="27" spans="1:17" s="3" customFormat="1">
      <c r="A27" s="13">
        <v>3039</v>
      </c>
      <c r="B27" s="14">
        <v>9.0609304035551902E-4</v>
      </c>
      <c r="C27" s="14">
        <v>5.9474305303535704E-4</v>
      </c>
      <c r="D27" s="14">
        <v>1.16871235552131E-6</v>
      </c>
      <c r="E27" s="61">
        <v>36754</v>
      </c>
      <c r="F27" s="15" t="s">
        <v>11</v>
      </c>
      <c r="G27" s="54">
        <v>6.8796981731209499E-3</v>
      </c>
      <c r="H27" s="50"/>
      <c r="I27" s="1"/>
      <c r="Q27" s="20"/>
    </row>
    <row r="28" spans="1:17" s="3" customFormat="1">
      <c r="A28" s="93">
        <v>3040</v>
      </c>
      <c r="B28" s="10">
        <v>9.9621036269175204E-4</v>
      </c>
      <c r="C28" s="10">
        <v>5.6920800463882305E-4</v>
      </c>
      <c r="D28" s="10">
        <v>1.52862103982518E-6</v>
      </c>
      <c r="E28" s="59">
        <v>41131</v>
      </c>
      <c r="F28" s="11" t="s">
        <v>44</v>
      </c>
      <c r="G28" s="53">
        <v>-0.15344496132813401</v>
      </c>
      <c r="H28" s="50" t="s">
        <v>33</v>
      </c>
      <c r="I28" s="1"/>
      <c r="Q28" s="20"/>
    </row>
    <row r="29" spans="1:17" s="3" customFormat="1">
      <c r="A29" s="8">
        <v>3040</v>
      </c>
      <c r="B29" s="10">
        <v>1.0642015420919001E-3</v>
      </c>
      <c r="C29" s="10">
        <v>5.4382831494512304E-4</v>
      </c>
      <c r="D29" s="10">
        <v>2.0459856024454699E-6</v>
      </c>
      <c r="E29" s="59">
        <v>40733</v>
      </c>
      <c r="F29" s="41" t="s">
        <v>40</v>
      </c>
      <c r="G29" s="53">
        <v>-4.6266510541670396E-3</v>
      </c>
      <c r="H29" s="50" t="s">
        <v>43</v>
      </c>
      <c r="I29" s="1"/>
      <c r="Q29" s="20"/>
    </row>
    <row r="30" spans="1:17" s="3" customFormat="1">
      <c r="A30" s="8">
        <v>3040</v>
      </c>
      <c r="B30" s="10">
        <v>1.38589664636999E-2</v>
      </c>
      <c r="C30" s="10">
        <v>-3.8250158228941801E-3</v>
      </c>
      <c r="D30" s="10">
        <v>7.7485052904190598E-5</v>
      </c>
      <c r="E30" s="59">
        <v>36754</v>
      </c>
      <c r="F30" s="11" t="s">
        <v>11</v>
      </c>
      <c r="G30" s="53">
        <v>4.3544770034293898E-2</v>
      </c>
      <c r="H30" s="50"/>
      <c r="I30" s="1"/>
      <c r="Q30" s="20"/>
    </row>
    <row r="31" spans="1:17" s="3" customFormat="1">
      <c r="A31" s="8">
        <v>3041</v>
      </c>
      <c r="B31" s="10">
        <v>1.06249758306504E-3</v>
      </c>
      <c r="C31" s="10">
        <v>5.44618673160324E-4</v>
      </c>
      <c r="D31" s="10">
        <v>2.0570238554202501E-6</v>
      </c>
      <c r="E31" s="59">
        <v>40733</v>
      </c>
      <c r="F31" s="41" t="s">
        <v>40</v>
      </c>
      <c r="G31" s="53">
        <v>3.1736183279420498E-3</v>
      </c>
      <c r="H31" s="50" t="s">
        <v>43</v>
      </c>
      <c r="I31" s="1"/>
      <c r="Q31" s="20"/>
    </row>
    <row r="32" spans="1:17" s="3" customFormat="1">
      <c r="A32" s="8">
        <v>3041</v>
      </c>
      <c r="B32" s="10">
        <v>9.4073126600998399E-4</v>
      </c>
      <c r="C32" s="10">
        <v>5.8968736748105598E-4</v>
      </c>
      <c r="D32" s="10">
        <v>1.15036338790346E-6</v>
      </c>
      <c r="E32" s="59">
        <v>39274</v>
      </c>
      <c r="F32" s="41" t="s">
        <v>38</v>
      </c>
      <c r="G32" s="53">
        <v>0.13042000000000001</v>
      </c>
      <c r="H32" s="50" t="s">
        <v>39</v>
      </c>
      <c r="I32" s="1"/>
      <c r="Q32" s="20"/>
    </row>
    <row r="33" spans="1:17" s="3" customFormat="1">
      <c r="A33" s="8">
        <v>3041</v>
      </c>
      <c r="B33" s="10">
        <v>9.3465293679844698E-4</v>
      </c>
      <c r="C33" s="10">
        <v>5.9189930620172002E-4</v>
      </c>
      <c r="D33" s="10">
        <v>1.1083585712125401E-6</v>
      </c>
      <c r="E33" s="60">
        <v>38212</v>
      </c>
      <c r="F33" s="41" t="s">
        <v>34</v>
      </c>
      <c r="G33" s="53">
        <v>0.13943133693453499</v>
      </c>
      <c r="H33" s="50" t="s">
        <v>33</v>
      </c>
      <c r="I33" s="1"/>
      <c r="Q33" s="20"/>
    </row>
    <row r="34" spans="1:17" s="3" customFormat="1">
      <c r="A34" s="13">
        <v>3041</v>
      </c>
      <c r="B34" s="14">
        <v>4.8259650171991899E-4</v>
      </c>
      <c r="C34" s="14">
        <v>5.8500425905009699E-4</v>
      </c>
      <c r="D34" s="14">
        <v>8.7411704641948695E-7</v>
      </c>
      <c r="E34" s="61">
        <v>36928</v>
      </c>
      <c r="F34" s="16" t="s">
        <v>6</v>
      </c>
      <c r="G34" s="54">
        <v>0.13088543795042501</v>
      </c>
      <c r="H34" s="50"/>
      <c r="I34" s="1"/>
      <c r="Q34" s="20"/>
    </row>
    <row r="35" spans="1:17" s="3" customFormat="1">
      <c r="A35" s="13">
        <v>3041</v>
      </c>
      <c r="B35" s="14">
        <v>9.1571850098171395E-4</v>
      </c>
      <c r="C35" s="14">
        <v>5.9438209164935799E-4</v>
      </c>
      <c r="D35" s="14">
        <v>1.1768393094443E-6</v>
      </c>
      <c r="E35" s="61">
        <v>36816</v>
      </c>
      <c r="F35" s="16" t="s">
        <v>12</v>
      </c>
      <c r="G35" s="54">
        <v>2.6027437567564E-3</v>
      </c>
      <c r="H35" s="50"/>
      <c r="Q35" s="20"/>
    </row>
    <row r="36" spans="1:17" s="3" customFormat="1">
      <c r="A36" s="8">
        <v>3041</v>
      </c>
      <c r="B36" s="10">
        <v>8.4648858939500801E-4</v>
      </c>
      <c r="C36" s="10">
        <v>6.1765562200084899E-4</v>
      </c>
      <c r="D36" s="10">
        <v>7.9152732440244597E-7</v>
      </c>
      <c r="E36" s="59">
        <v>36798</v>
      </c>
      <c r="F36" s="11" t="s">
        <v>13</v>
      </c>
      <c r="G36" s="53"/>
      <c r="H36" s="50"/>
      <c r="I36" s="1"/>
      <c r="Q36" s="20"/>
    </row>
    <row r="37" spans="1:17" s="3" customFormat="1">
      <c r="A37" s="8">
        <v>3041</v>
      </c>
      <c r="B37" s="10">
        <v>9.7535191690760002E-3</v>
      </c>
      <c r="C37" s="10">
        <v>-2.4201323660070998E-3</v>
      </c>
      <c r="D37" s="10">
        <v>5.3114599596745301E-5</v>
      </c>
      <c r="E37" s="59">
        <v>36754</v>
      </c>
      <c r="F37" s="11" t="s">
        <v>11</v>
      </c>
      <c r="G37" s="53">
        <v>-4.5438899022196999E-2</v>
      </c>
      <c r="H37" s="50" t="s">
        <v>7</v>
      </c>
      <c r="I37" s="1"/>
      <c r="Q37" s="1"/>
    </row>
    <row r="38" spans="1:17" s="3" customFormat="1">
      <c r="A38" s="8">
        <v>3043</v>
      </c>
      <c r="B38" s="10">
        <v>9.1866881886991803E-4</v>
      </c>
      <c r="C38" s="10">
        <v>5.9524530727790299E-4</v>
      </c>
      <c r="D38" s="10">
        <v>1.06796283509768E-6</v>
      </c>
      <c r="E38" s="59">
        <v>41513</v>
      </c>
      <c r="F38" s="11" t="s">
        <v>45</v>
      </c>
      <c r="G38" s="53">
        <v>-0.11708555833475</v>
      </c>
      <c r="H38" s="50" t="s">
        <v>7</v>
      </c>
      <c r="I38" s="1"/>
      <c r="Q38" s="1"/>
    </row>
    <row r="39" spans="1:17" s="3" customFormat="1">
      <c r="A39" s="8">
        <v>3043</v>
      </c>
      <c r="B39" s="10">
        <v>1.0103766277930299E-3</v>
      </c>
      <c r="C39" s="10">
        <v>5.6218333531908701E-4</v>
      </c>
      <c r="D39" s="10">
        <v>1.70287719333617E-6</v>
      </c>
      <c r="E39" s="59">
        <v>40733</v>
      </c>
      <c r="F39" s="11" t="s">
        <v>40</v>
      </c>
      <c r="G39" s="53">
        <v>-2.96188427603639E-2</v>
      </c>
      <c r="H39" s="50" t="s">
        <v>43</v>
      </c>
      <c r="I39" s="1"/>
    </row>
    <row r="40" spans="1:17" s="3" customFormat="1">
      <c r="A40" s="94">
        <v>3043</v>
      </c>
      <c r="B40" s="92">
        <v>-6.9995875422926204E-3</v>
      </c>
      <c r="C40" s="92">
        <v>3.5806792841016201E-3</v>
      </c>
      <c r="D40" s="92">
        <v>-6.1910294806216096E-5</v>
      </c>
      <c r="E40" s="70">
        <v>40206</v>
      </c>
      <c r="F40" s="89" t="s">
        <v>0</v>
      </c>
      <c r="G40" s="88">
        <v>20.887161968737399</v>
      </c>
      <c r="H40" s="91" t="s">
        <v>33</v>
      </c>
      <c r="I40" s="90" t="s">
        <v>1</v>
      </c>
    </row>
    <row r="41" spans="1:17" s="3" customFormat="1">
      <c r="A41" s="8">
        <v>3043</v>
      </c>
      <c r="B41" s="10">
        <v>1.0044326511295899E-3</v>
      </c>
      <c r="C41" s="10">
        <v>5.63507600135083E-4</v>
      </c>
      <c r="D41" s="10">
        <v>1.7030540165103099E-6</v>
      </c>
      <c r="E41" s="59">
        <v>39667</v>
      </c>
      <c r="F41" s="41" t="s">
        <v>42</v>
      </c>
      <c r="G41" s="53">
        <v>3.3706674306621699E-2</v>
      </c>
      <c r="H41" s="50" t="s">
        <v>33</v>
      </c>
      <c r="I41" s="1"/>
    </row>
    <row r="42" spans="1:17" s="3" customFormat="1">
      <c r="A42" s="8">
        <v>3043</v>
      </c>
      <c r="B42" s="10">
        <v>9.1552469679890603E-4</v>
      </c>
      <c r="C42" s="10">
        <v>5.97438491094136E-4</v>
      </c>
      <c r="D42" s="10">
        <v>9.8934234029790197E-7</v>
      </c>
      <c r="E42" s="59">
        <v>38944</v>
      </c>
      <c r="F42" s="41" t="s">
        <v>35</v>
      </c>
      <c r="G42" s="53">
        <v>0.14419833993804301</v>
      </c>
      <c r="H42" s="50" t="s">
        <v>33</v>
      </c>
      <c r="I42" s="1"/>
    </row>
    <row r="43" spans="1:17" s="3" customFormat="1">
      <c r="A43" s="13">
        <v>3043</v>
      </c>
      <c r="B43" s="14">
        <v>9.8514124270674998E-3</v>
      </c>
      <c r="C43" s="14">
        <v>-2.4510516108763999E-3</v>
      </c>
      <c r="D43" s="14">
        <v>5.3519449134917002E-5</v>
      </c>
      <c r="E43" s="61">
        <v>36754</v>
      </c>
      <c r="F43" s="16" t="s">
        <v>11</v>
      </c>
      <c r="G43" s="54">
        <v>4.7340550034824097E-2</v>
      </c>
      <c r="H43" s="50"/>
      <c r="I43" s="1"/>
    </row>
    <row r="44" spans="1:17" s="3" customFormat="1">
      <c r="A44" s="13">
        <v>3045</v>
      </c>
      <c r="B44" s="14">
        <v>8.6256123324429299E-4</v>
      </c>
      <c r="C44" s="14">
        <v>6.1036204270976599E-4</v>
      </c>
      <c r="D44" s="14">
        <v>7.3092166878597299E-7</v>
      </c>
      <c r="E44" s="59">
        <v>39274</v>
      </c>
      <c r="F44" s="41" t="s">
        <v>38</v>
      </c>
      <c r="G44" s="53">
        <v>0.16542000000000001</v>
      </c>
      <c r="H44" s="50" t="s">
        <v>39</v>
      </c>
      <c r="I44" s="1"/>
    </row>
    <row r="45" spans="1:17" s="3" customFormat="1">
      <c r="A45" s="13">
        <v>3045</v>
      </c>
      <c r="B45" s="14">
        <v>8.5377983156737002E-4</v>
      </c>
      <c r="C45" s="14">
        <v>6.1355052136654697E-4</v>
      </c>
      <c r="D45" s="14">
        <v>6.7025066844749603E-7</v>
      </c>
      <c r="E45" s="60">
        <v>38212</v>
      </c>
      <c r="F45" s="41" t="s">
        <v>34</v>
      </c>
      <c r="G45" s="53">
        <v>0.178378336852688</v>
      </c>
      <c r="H45" s="50" t="s">
        <v>33</v>
      </c>
      <c r="I45" s="1"/>
      <c r="J45" s="84"/>
    </row>
    <row r="46" spans="1:17" s="3" customFormat="1">
      <c r="A46" s="8">
        <v>3045</v>
      </c>
      <c r="B46" s="39">
        <v>7.6573293513753E-4</v>
      </c>
      <c r="C46" s="39">
        <v>6.4922396797894796E-4</v>
      </c>
      <c r="D46" s="39">
        <v>-1.8010832505113199E-7</v>
      </c>
      <c r="E46" s="62">
        <v>36698</v>
      </c>
      <c r="F46" s="1" t="s">
        <v>17</v>
      </c>
      <c r="G46" s="53">
        <v>-0.13657195147600701</v>
      </c>
      <c r="H46" s="50" t="s">
        <v>26</v>
      </c>
      <c r="I46" s="1"/>
      <c r="J46" s="84"/>
    </row>
    <row r="47" spans="1:17" s="3" customFormat="1">
      <c r="A47" s="13">
        <v>3048</v>
      </c>
      <c r="B47" s="14">
        <v>8.7828455811041998E-4</v>
      </c>
      <c r="C47" s="14">
        <v>6.0329282400484196E-4</v>
      </c>
      <c r="D47" s="14">
        <v>8.6220935363252198E-7</v>
      </c>
      <c r="E47" s="60">
        <v>41513</v>
      </c>
      <c r="F47" s="41" t="s">
        <v>45</v>
      </c>
      <c r="G47" s="53">
        <v>0.16853403506182499</v>
      </c>
      <c r="H47" s="50" t="s">
        <v>33</v>
      </c>
      <c r="I47" s="1"/>
      <c r="J47" s="84"/>
    </row>
    <row r="48" spans="1:17" s="3" customFormat="1">
      <c r="A48" s="8">
        <v>3048</v>
      </c>
      <c r="B48" s="10">
        <v>3.53751277908979E-4</v>
      </c>
      <c r="C48" s="10">
        <v>6.1818808401107499E-4</v>
      </c>
      <c r="D48" s="10">
        <v>3.6302445621191398E-7</v>
      </c>
      <c r="E48" s="59">
        <v>36698</v>
      </c>
      <c r="F48" s="11" t="s">
        <v>17</v>
      </c>
      <c r="G48" s="53">
        <v>-0.15522133808223501</v>
      </c>
      <c r="H48" s="50" t="s">
        <v>7</v>
      </c>
      <c r="I48" s="1"/>
      <c r="J48" s="84"/>
    </row>
    <row r="49" spans="1:12" s="3" customFormat="1">
      <c r="A49" s="93">
        <v>3049</v>
      </c>
      <c r="B49" s="10">
        <v>8.7442661065541998E-4</v>
      </c>
      <c r="C49" s="10">
        <v>6.1265213315819897E-4</v>
      </c>
      <c r="D49" s="10">
        <v>7.4342278791105701E-7</v>
      </c>
      <c r="E49" s="59">
        <v>40206</v>
      </c>
      <c r="F49" s="86" t="s">
        <v>0</v>
      </c>
      <c r="G49" s="87">
        <v>0.16367576819816099</v>
      </c>
      <c r="H49" s="50" t="s">
        <v>33</v>
      </c>
      <c r="I49" s="1"/>
      <c r="J49" s="84"/>
    </row>
    <row r="50" spans="1:12" s="3" customFormat="1">
      <c r="A50" s="8">
        <v>3049</v>
      </c>
      <c r="B50" s="10">
        <v>8.7354413669617995E-4</v>
      </c>
      <c r="C50" s="10">
        <v>6.1309035550377101E-4</v>
      </c>
      <c r="D50" s="10">
        <v>7.32092350994456E-7</v>
      </c>
      <c r="E50" s="59">
        <v>39667</v>
      </c>
      <c r="F50" s="41" t="s">
        <v>42</v>
      </c>
      <c r="G50" s="53">
        <v>0.16357877820601599</v>
      </c>
      <c r="H50" s="50" t="s">
        <v>33</v>
      </c>
      <c r="I50" s="1"/>
      <c r="J50" s="84"/>
    </row>
    <row r="51" spans="1:12" s="3" customFormat="1">
      <c r="A51" s="8">
        <v>3049</v>
      </c>
      <c r="B51" s="10">
        <v>8.7211872721328402E-4</v>
      </c>
      <c r="C51" s="10">
        <v>6.1349180168668099E-4</v>
      </c>
      <c r="D51" s="10">
        <v>7.2712397195878298E-7</v>
      </c>
      <c r="E51" s="59">
        <v>39274</v>
      </c>
      <c r="F51" s="41" t="s">
        <v>38</v>
      </c>
      <c r="G51" s="53">
        <v>0.16295000000000001</v>
      </c>
      <c r="H51" s="50" t="s">
        <v>39</v>
      </c>
      <c r="I51" s="1"/>
      <c r="J51" s="84"/>
    </row>
    <row r="52" spans="1:12" s="3" customFormat="1">
      <c r="A52" s="8">
        <v>3049</v>
      </c>
      <c r="B52" s="10">
        <v>8.7287014865802196E-4</v>
      </c>
      <c r="C52" s="10">
        <v>6.1321406778334995E-4</v>
      </c>
      <c r="D52" s="10">
        <v>7.3193697253365702E-7</v>
      </c>
      <c r="E52" s="59">
        <v>38793</v>
      </c>
      <c r="F52" s="41" t="s">
        <v>2</v>
      </c>
      <c r="G52" s="53">
        <v>0.163698807871867</v>
      </c>
      <c r="H52" s="50" t="s">
        <v>7</v>
      </c>
      <c r="I52" s="1"/>
      <c r="J52" s="84"/>
    </row>
    <row r="53" spans="1:12" s="3" customFormat="1">
      <c r="A53" s="8">
        <v>3049</v>
      </c>
      <c r="B53" s="10">
        <v>9.51506474325158E-4</v>
      </c>
      <c r="C53" s="10">
        <v>5.8387088477089501E-4</v>
      </c>
      <c r="D53" s="10">
        <v>1.33023901006435E-6</v>
      </c>
      <c r="E53" s="59">
        <v>38400</v>
      </c>
      <c r="F53" s="41" t="s">
        <v>32</v>
      </c>
      <c r="G53" s="53">
        <v>3.41984833633475E-2</v>
      </c>
      <c r="H53" s="50" t="s">
        <v>33</v>
      </c>
      <c r="I53" s="1"/>
      <c r="J53" s="80"/>
    </row>
    <row r="54" spans="1:12" s="3" customFormat="1">
      <c r="A54" s="13">
        <v>3049</v>
      </c>
      <c r="B54" s="14">
        <v>3.8733341868203101E-4</v>
      </c>
      <c r="C54" s="14">
        <v>6.1308315633679502E-4</v>
      </c>
      <c r="D54" s="14">
        <v>5.12656561505381E-7</v>
      </c>
      <c r="E54" s="61">
        <v>36928</v>
      </c>
      <c r="F54" s="15" t="s">
        <v>6</v>
      </c>
      <c r="G54" s="54">
        <v>0.16346033244939001</v>
      </c>
      <c r="H54" s="50"/>
      <c r="I54" s="1"/>
      <c r="J54" s="84"/>
    </row>
    <row r="55" spans="1:12" s="3" customFormat="1">
      <c r="A55" s="8">
        <v>3049</v>
      </c>
      <c r="B55" s="10">
        <v>1.2486132420197801E-3</v>
      </c>
      <c r="C55" s="10">
        <v>4.8061969701524099E-4</v>
      </c>
      <c r="D55" s="10">
        <v>3.16503839469633E-6</v>
      </c>
      <c r="E55" s="59">
        <v>36816</v>
      </c>
      <c r="F55" s="11" t="s">
        <v>12</v>
      </c>
      <c r="G55" s="53">
        <v>-1.24449793838677E-3</v>
      </c>
      <c r="H55" s="50"/>
      <c r="I55" s="1"/>
      <c r="J55" s="84"/>
    </row>
    <row r="56" spans="1:12" s="3" customFormat="1">
      <c r="A56" s="8">
        <v>3049</v>
      </c>
      <c r="B56" s="10">
        <v>8.4648858939500801E-4</v>
      </c>
      <c r="C56" s="10">
        <v>6.1035439835562802E-4</v>
      </c>
      <c r="D56" s="10">
        <v>9.4610855478686697E-7</v>
      </c>
      <c r="E56" s="59">
        <v>36798</v>
      </c>
      <c r="F56" s="1" t="s">
        <v>13</v>
      </c>
      <c r="G56" s="53"/>
      <c r="H56" s="50"/>
      <c r="I56" s="1"/>
      <c r="J56" s="84"/>
    </row>
    <row r="57" spans="1:12" s="3" customFormat="1">
      <c r="A57" s="8">
        <v>3049</v>
      </c>
      <c r="B57" s="10">
        <v>1.3739250132974699E-3</v>
      </c>
      <c r="C57" s="10">
        <v>4.3764492501310003E-4</v>
      </c>
      <c r="D57" s="10">
        <v>3.9146731441948802E-6</v>
      </c>
      <c r="E57" s="59">
        <v>36755</v>
      </c>
      <c r="F57" s="11" t="s">
        <v>14</v>
      </c>
      <c r="G57" s="53" t="s">
        <v>8</v>
      </c>
      <c r="H57" s="50" t="s">
        <v>7</v>
      </c>
      <c r="I57" s="1"/>
      <c r="J57" s="82"/>
    </row>
    <row r="58" spans="1:12" s="3" customFormat="1">
      <c r="A58" s="13">
        <v>3050</v>
      </c>
      <c r="B58" s="14">
        <v>1.1093230747604699E-3</v>
      </c>
      <c r="C58" s="14">
        <v>5.2334325739137905E-4</v>
      </c>
      <c r="D58" s="14">
        <v>2.3884757093472199E-6</v>
      </c>
      <c r="E58" s="61">
        <v>36723</v>
      </c>
      <c r="F58" s="12" t="s">
        <v>10</v>
      </c>
      <c r="G58" s="54">
        <v>8.9439157785253798E-4</v>
      </c>
      <c r="H58" s="50"/>
      <c r="I58" s="1"/>
      <c r="J58" s="82"/>
    </row>
    <row r="59" spans="1:12" s="3" customFormat="1">
      <c r="A59" s="8">
        <v>3051</v>
      </c>
      <c r="B59" s="10">
        <v>9.0708168034829204E-4</v>
      </c>
      <c r="C59" s="10">
        <v>5.9384653347932103E-4</v>
      </c>
      <c r="D59" s="10">
        <v>1.3400294321322099E-6</v>
      </c>
      <c r="E59" s="59">
        <v>36754</v>
      </c>
      <c r="F59" s="11" t="s">
        <v>11</v>
      </c>
      <c r="G59" s="53">
        <v>2.1661203818551501E-2</v>
      </c>
      <c r="H59" s="50"/>
      <c r="I59" s="1"/>
      <c r="J59" s="83"/>
      <c r="K59" s="83"/>
      <c r="L59" s="79"/>
    </row>
    <row r="60" spans="1:12" s="3" customFormat="1">
      <c r="A60" s="8">
        <v>3052</v>
      </c>
      <c r="B60" s="10">
        <v>8.8429781468796697E-4</v>
      </c>
      <c r="C60" s="10">
        <v>6.0074582978039898E-4</v>
      </c>
      <c r="D60" s="10">
        <v>9.2729723588310101E-7</v>
      </c>
      <c r="E60" s="59">
        <v>41513</v>
      </c>
      <c r="F60" s="41" t="s">
        <v>45</v>
      </c>
      <c r="G60" s="53">
        <v>0.14377773756204701</v>
      </c>
      <c r="H60" s="50" t="s">
        <v>33</v>
      </c>
      <c r="I60" s="1"/>
      <c r="J60" s="83"/>
      <c r="K60" s="82"/>
      <c r="L60" s="79"/>
    </row>
    <row r="61" spans="1:12" s="3" customFormat="1">
      <c r="A61" s="93">
        <v>3052</v>
      </c>
      <c r="B61" s="10">
        <v>9.4963904665838902E-4</v>
      </c>
      <c r="C61" s="10">
        <v>5.7703267945189004E-4</v>
      </c>
      <c r="D61" s="10">
        <v>1.38623682557471E-6</v>
      </c>
      <c r="E61" s="59">
        <v>41131</v>
      </c>
      <c r="F61" s="11" t="s">
        <v>44</v>
      </c>
      <c r="G61" s="53">
        <v>-0.13144664148829599</v>
      </c>
      <c r="H61" s="50" t="s">
        <v>33</v>
      </c>
      <c r="I61" s="1"/>
      <c r="J61" s="82"/>
      <c r="K61" s="84"/>
      <c r="L61" s="79"/>
    </row>
    <row r="62" spans="1:12" s="3" customFormat="1">
      <c r="A62" s="8">
        <v>3052</v>
      </c>
      <c r="B62" s="10">
        <v>1.12830666285646E-3</v>
      </c>
      <c r="C62" s="10">
        <v>5.1425117652518799E-4</v>
      </c>
      <c r="D62" s="10">
        <v>2.53273360589288E-6</v>
      </c>
      <c r="E62" s="62">
        <v>38399</v>
      </c>
      <c r="F62" s="75" t="s">
        <v>36</v>
      </c>
      <c r="G62" s="76">
        <v>-8.0484940642566705E-4</v>
      </c>
      <c r="H62" s="77" t="s">
        <v>37</v>
      </c>
      <c r="I62" s="1"/>
      <c r="J62" s="84"/>
      <c r="K62" s="84"/>
      <c r="L62" s="79"/>
    </row>
    <row r="63" spans="1:12" s="3" customFormat="1">
      <c r="A63" s="8">
        <v>3052</v>
      </c>
      <c r="B63" s="10">
        <v>1.1666818055727001E-3</v>
      </c>
      <c r="C63" s="10">
        <v>5.0110634111274002E-4</v>
      </c>
      <c r="D63" s="10">
        <v>2.7602344707393299E-6</v>
      </c>
      <c r="E63" s="59">
        <v>36723</v>
      </c>
      <c r="F63" s="11" t="s">
        <v>10</v>
      </c>
      <c r="G63" s="53">
        <v>-1.9532153880197399E-3</v>
      </c>
      <c r="H63" s="50"/>
      <c r="I63" s="1"/>
      <c r="J63" s="84"/>
      <c r="K63" s="84"/>
      <c r="L63" s="79"/>
    </row>
    <row r="64" spans="1:12" s="3" customFormat="1">
      <c r="A64" s="8">
        <v>3053</v>
      </c>
      <c r="B64" s="10">
        <v>1.0938390905965399E-3</v>
      </c>
      <c r="C64" s="10">
        <v>5.2539931851788802E-4</v>
      </c>
      <c r="D64" s="10">
        <v>2.4179364755813099E-6</v>
      </c>
      <c r="E64" s="59">
        <v>36754</v>
      </c>
      <c r="F64" s="1" t="s">
        <v>11</v>
      </c>
      <c r="G64" s="53">
        <v>1.5821256825516501E-2</v>
      </c>
      <c r="H64" s="50"/>
      <c r="I64" s="1"/>
      <c r="J64" s="84"/>
      <c r="K64" s="84"/>
      <c r="L64" s="79"/>
    </row>
    <row r="65" spans="1:12" s="3" customFormat="1">
      <c r="A65" s="8">
        <v>3054</v>
      </c>
      <c r="B65" s="10">
        <v>9.0679839801977903E-4</v>
      </c>
      <c r="C65" s="10">
        <v>6.0363666553915098E-4</v>
      </c>
      <c r="D65" s="10">
        <v>8.7761735924380705E-7</v>
      </c>
      <c r="E65" s="59">
        <v>41513</v>
      </c>
      <c r="F65" s="41" t="s">
        <v>45</v>
      </c>
      <c r="G65" s="53">
        <v>0.144117104431118</v>
      </c>
      <c r="H65" s="50" t="s">
        <v>33</v>
      </c>
      <c r="I65" s="1"/>
      <c r="J65" s="84"/>
      <c r="K65" s="84"/>
      <c r="L65" s="79"/>
    </row>
    <row r="66" spans="1:12" s="3" customFormat="1">
      <c r="A66" s="93">
        <v>3054</v>
      </c>
      <c r="B66" s="10">
        <v>9.0258531497748704E-4</v>
      </c>
      <c r="C66" s="10">
        <v>6.0524293457716498E-4</v>
      </c>
      <c r="D66" s="10">
        <v>8.4254327500869103E-7</v>
      </c>
      <c r="E66" s="59">
        <v>40206</v>
      </c>
      <c r="F66" s="86" t="s">
        <v>0</v>
      </c>
      <c r="G66" s="87">
        <v>0.148726034334274</v>
      </c>
      <c r="H66" s="50" t="s">
        <v>33</v>
      </c>
      <c r="I66" s="1"/>
      <c r="J66" s="84"/>
      <c r="K66" s="84"/>
      <c r="L66" s="79"/>
    </row>
    <row r="67" spans="1:12" s="3" customFormat="1">
      <c r="A67" s="8">
        <v>3054</v>
      </c>
      <c r="B67" s="10">
        <v>9.0486188277665199E-4</v>
      </c>
      <c r="C67" s="10">
        <v>6.0442415098205704E-4</v>
      </c>
      <c r="D67" s="10">
        <v>8.5958805331121702E-7</v>
      </c>
      <c r="E67" s="59">
        <v>39667</v>
      </c>
      <c r="F67" s="41" t="s">
        <v>42</v>
      </c>
      <c r="G67" s="53">
        <v>0.14948091953473899</v>
      </c>
      <c r="H67" s="50" t="s">
        <v>33</v>
      </c>
      <c r="I67" s="1"/>
      <c r="J67" s="84"/>
      <c r="K67" s="84"/>
      <c r="L67" s="79"/>
    </row>
    <row r="68" spans="1:12" s="3" customFormat="1">
      <c r="A68" s="8">
        <v>3054</v>
      </c>
      <c r="B68" s="10">
        <v>9.0257091603369898E-4</v>
      </c>
      <c r="C68" s="10">
        <v>6.0518696014458695E-4</v>
      </c>
      <c r="D68" s="10">
        <v>8.4531780793794297E-7</v>
      </c>
      <c r="E68" s="59">
        <v>39274</v>
      </c>
      <c r="F68" s="41" t="s">
        <v>38</v>
      </c>
      <c r="G68" s="53">
        <v>0.14995</v>
      </c>
      <c r="H68" s="50" t="s">
        <v>39</v>
      </c>
      <c r="I68" s="1"/>
      <c r="J68" s="84"/>
      <c r="K68" s="84"/>
      <c r="L68" s="79"/>
    </row>
    <row r="69" spans="1:12" s="3" customFormat="1">
      <c r="A69" s="8">
        <v>3054</v>
      </c>
      <c r="B69" s="10">
        <v>8.8883940245265399E-4</v>
      </c>
      <c r="C69" s="10">
        <v>6.1031168168808097E-4</v>
      </c>
      <c r="D69" s="10">
        <v>7.4163584094104303E-7</v>
      </c>
      <c r="E69" s="60">
        <v>38212</v>
      </c>
      <c r="F69" s="41" t="s">
        <v>34</v>
      </c>
      <c r="G69" s="53">
        <v>0.16896231705675299</v>
      </c>
      <c r="H69" s="50" t="s">
        <v>33</v>
      </c>
      <c r="I69" s="1"/>
      <c r="J69" s="84"/>
      <c r="K69" s="84"/>
      <c r="L69" s="79"/>
    </row>
    <row r="70" spans="1:12" s="3" customFormat="1">
      <c r="A70" s="8">
        <v>3054</v>
      </c>
      <c r="B70" s="10">
        <v>6.9119535000382803E-4</v>
      </c>
      <c r="C70" s="10">
        <v>6.7336338517442595E-4</v>
      </c>
      <c r="D70" s="10">
        <v>-2.0826381920572201E-7</v>
      </c>
      <c r="E70" s="59">
        <v>36754</v>
      </c>
      <c r="F70" s="11" t="s">
        <v>11</v>
      </c>
      <c r="G70" s="53">
        <v>1.5422447153226001E-3</v>
      </c>
      <c r="H70" s="50"/>
      <c r="I70" s="1"/>
      <c r="J70" s="84"/>
      <c r="K70" s="80"/>
      <c r="L70" s="79"/>
    </row>
    <row r="71" spans="1:12" s="3" customFormat="1">
      <c r="A71" s="8">
        <v>3055</v>
      </c>
      <c r="B71" s="10">
        <v>6.4946805061829498E-4</v>
      </c>
      <c r="C71" s="10">
        <v>6.7389884544975201E-4</v>
      </c>
      <c r="D71" s="10">
        <v>-2.0520174141254001E-7</v>
      </c>
      <c r="E71" s="59">
        <v>36754</v>
      </c>
      <c r="F71" s="11" t="s">
        <v>11</v>
      </c>
      <c r="G71" s="53">
        <v>-2.3681443804903801E-3</v>
      </c>
      <c r="H71" s="50"/>
      <c r="I71" s="1"/>
      <c r="J71" s="84"/>
      <c r="K71" s="80"/>
      <c r="L71" s="79"/>
    </row>
    <row r="72" spans="1:12" s="3" customFormat="1">
      <c r="A72" s="8">
        <v>3056</v>
      </c>
      <c r="B72" s="10">
        <v>1.14328171314542E-3</v>
      </c>
      <c r="C72" s="10">
        <v>5.1669546124825699E-4</v>
      </c>
      <c r="D72" s="10">
        <v>2.5093027198479199E-6</v>
      </c>
      <c r="E72" s="59">
        <v>36723</v>
      </c>
      <c r="F72" s="1" t="s">
        <v>10</v>
      </c>
      <c r="G72" s="53">
        <v>1.9607905835608E-3</v>
      </c>
      <c r="H72" s="50"/>
      <c r="I72" s="1"/>
      <c r="J72" s="80"/>
      <c r="K72" s="80"/>
      <c r="L72" s="79"/>
    </row>
    <row r="73" spans="1:12" s="3" customFormat="1">
      <c r="A73" s="8">
        <v>3057</v>
      </c>
      <c r="B73" s="10">
        <v>1.0352794348000699E-3</v>
      </c>
      <c r="C73" s="10">
        <v>5.5612419666616595E-4</v>
      </c>
      <c r="D73" s="10">
        <v>1.85506367985071E-6</v>
      </c>
      <c r="E73" s="59">
        <v>36754</v>
      </c>
      <c r="F73" s="11" t="s">
        <v>11</v>
      </c>
      <c r="G73" s="53">
        <v>-2.9143334373538101E-3</v>
      </c>
      <c r="H73" s="50"/>
      <c r="I73" s="1"/>
      <c r="J73" s="84"/>
      <c r="K73" s="80"/>
      <c r="L73" s="79"/>
    </row>
    <row r="74" spans="1:12" s="3" customFormat="1">
      <c r="A74" s="8">
        <v>3067</v>
      </c>
      <c r="B74" s="10">
        <v>1.2192550839485001E-3</v>
      </c>
      <c r="C74" s="10">
        <v>4.9211817815649297E-4</v>
      </c>
      <c r="D74" s="10">
        <v>2.9928102502498401E-6</v>
      </c>
      <c r="E74" s="59">
        <v>36723</v>
      </c>
      <c r="F74" s="11" t="s">
        <v>10</v>
      </c>
      <c r="G74" s="53">
        <v>-3.6796645109040699E-3</v>
      </c>
      <c r="H74" s="50"/>
      <c r="I74" s="1"/>
      <c r="J74" s="84"/>
      <c r="K74" s="82"/>
      <c r="L74" s="79"/>
    </row>
    <row r="75" spans="1:12" s="3" customFormat="1">
      <c r="A75" s="93">
        <v>3087</v>
      </c>
      <c r="B75" s="10">
        <v>8.8265374344151902E-4</v>
      </c>
      <c r="C75" s="10">
        <v>6.11412822298249E-4</v>
      </c>
      <c r="D75" s="10">
        <v>7.3434416733791101E-7</v>
      </c>
      <c r="E75" s="59">
        <v>40206</v>
      </c>
      <c r="F75" s="86" t="s">
        <v>0</v>
      </c>
      <c r="G75" s="87">
        <v>0.174097123657347</v>
      </c>
      <c r="H75" s="50" t="s">
        <v>33</v>
      </c>
      <c r="I75" s="1"/>
      <c r="J75" s="84"/>
      <c r="K75" s="83"/>
      <c r="L75" s="79"/>
    </row>
    <row r="76" spans="1:12" s="3" customFormat="1">
      <c r="A76" s="81">
        <v>3087</v>
      </c>
      <c r="B76" s="39">
        <v>8.8448790492150805E-4</v>
      </c>
      <c r="C76" s="39">
        <v>6.1083676074372498E-4</v>
      </c>
      <c r="D76" s="39">
        <v>7.4217065774642304E-7</v>
      </c>
      <c r="E76" s="62">
        <v>39667</v>
      </c>
      <c r="F76" s="75" t="s">
        <v>42</v>
      </c>
      <c r="G76" s="76">
        <v>0.17419029434219599</v>
      </c>
      <c r="H76" s="77" t="s">
        <v>33</v>
      </c>
      <c r="I76" s="1"/>
      <c r="J76" s="82"/>
      <c r="K76" s="82"/>
      <c r="L76" s="79"/>
    </row>
    <row r="77" spans="1:12" s="3" customFormat="1">
      <c r="A77" s="8">
        <v>3087</v>
      </c>
      <c r="B77" s="10">
        <v>8.8289100704853603E-4</v>
      </c>
      <c r="C77" s="10">
        <v>6.11344459654424E-4</v>
      </c>
      <c r="D77" s="10">
        <v>7.3419407104282904E-7</v>
      </c>
      <c r="E77" s="59">
        <v>38944</v>
      </c>
      <c r="F77" s="41" t="s">
        <v>35</v>
      </c>
      <c r="G77" s="53">
        <v>0.174322528338507</v>
      </c>
      <c r="H77" s="50" t="s">
        <v>33</v>
      </c>
      <c r="I77" s="1"/>
      <c r="J77" s="83"/>
      <c r="K77" s="84"/>
      <c r="L77" s="79"/>
    </row>
    <row r="78" spans="1:12" s="3" customFormat="1">
      <c r="A78" s="8">
        <v>3087</v>
      </c>
      <c r="B78" s="10">
        <v>9.6605421267359503E-4</v>
      </c>
      <c r="C78" s="10">
        <v>5.80321350789113E-4</v>
      </c>
      <c r="D78" s="10">
        <v>1.3657408145943699E-6</v>
      </c>
      <c r="E78" s="59">
        <v>38400</v>
      </c>
      <c r="F78" s="41" t="s">
        <v>32</v>
      </c>
      <c r="G78" s="53">
        <v>-3.3291094990154597E-2</v>
      </c>
      <c r="H78" s="50" t="s">
        <v>33</v>
      </c>
      <c r="I78" s="1"/>
      <c r="J78" s="82"/>
      <c r="K78" s="84"/>
      <c r="L78" s="79"/>
    </row>
    <row r="79" spans="1:12" s="3" customFormat="1">
      <c r="A79" s="8">
        <v>3087</v>
      </c>
      <c r="B79" s="10">
        <v>8.7299523854643597E-4</v>
      </c>
      <c r="C79" s="10">
        <v>6.1512080537591996E-4</v>
      </c>
      <c r="D79" s="10">
        <v>6.5302641028275698E-7</v>
      </c>
      <c r="E79" s="59">
        <v>36695</v>
      </c>
      <c r="F79" s="11" t="s">
        <v>15</v>
      </c>
      <c r="G79" s="53">
        <v>0.17176639907381699</v>
      </c>
      <c r="H79" s="50" t="s">
        <v>26</v>
      </c>
      <c r="I79" s="1"/>
      <c r="J79" s="84"/>
      <c r="K79" s="84"/>
      <c r="L79" s="79"/>
    </row>
    <row r="80" spans="1:12" s="3" customFormat="1">
      <c r="A80" s="8">
        <v>3105</v>
      </c>
      <c r="B80" s="10">
        <v>5.2696524007710696E-4</v>
      </c>
      <c r="C80" s="10">
        <v>5.7390634127258604E-4</v>
      </c>
      <c r="D80" s="10">
        <v>9.9653466501213203E-7</v>
      </c>
      <c r="E80" s="59">
        <v>36694</v>
      </c>
      <c r="F80" s="11" t="s">
        <v>15</v>
      </c>
      <c r="G80" s="53">
        <v>0.12604478267911601</v>
      </c>
      <c r="H80" s="50" t="s">
        <v>7</v>
      </c>
      <c r="I80" s="1"/>
      <c r="J80" s="84"/>
      <c r="K80" s="84"/>
      <c r="L80" s="79"/>
    </row>
    <row r="81" spans="1:17" s="3" customFormat="1">
      <c r="A81" s="13">
        <v>3119</v>
      </c>
      <c r="B81" s="14">
        <v>1.1187631188301901E-3</v>
      </c>
      <c r="C81" s="14">
        <v>5.2633875590570804E-4</v>
      </c>
      <c r="D81" s="14">
        <v>2.2998029955914801E-6</v>
      </c>
      <c r="E81" s="61">
        <v>36723</v>
      </c>
      <c r="F81" s="12" t="s">
        <v>10</v>
      </c>
      <c r="G81" s="54">
        <v>-1.43584461316748E-3</v>
      </c>
      <c r="H81" s="50"/>
      <c r="I81" s="1"/>
      <c r="J81" s="84"/>
    </row>
    <row r="82" spans="1:17" s="3" customFormat="1">
      <c r="A82" s="8">
        <v>3152</v>
      </c>
      <c r="B82" s="10">
        <v>1.1086267732222401E-3</v>
      </c>
      <c r="C82" s="10">
        <v>5.3513612847778404E-4</v>
      </c>
      <c r="D82" s="10">
        <v>2.1546604746335301E-6</v>
      </c>
      <c r="E82" s="59">
        <v>36751</v>
      </c>
      <c r="F82" s="11" t="s">
        <v>16</v>
      </c>
      <c r="G82" s="53">
        <v>-6.8777619513893395E-4</v>
      </c>
      <c r="H82" s="50"/>
      <c r="I82" s="1"/>
      <c r="J82" s="84"/>
    </row>
    <row r="83" spans="1:17" s="3" customFormat="1">
      <c r="A83" s="13">
        <v>3155</v>
      </c>
      <c r="B83" s="14">
        <v>8.7896942882137203E-4</v>
      </c>
      <c r="C83" s="14">
        <v>6.0469113050028601E-4</v>
      </c>
      <c r="D83" s="14">
        <v>9.9012587026417294E-7</v>
      </c>
      <c r="E83" s="61">
        <v>36754</v>
      </c>
      <c r="F83" s="12" t="s">
        <v>11</v>
      </c>
      <c r="G83" s="54">
        <v>4.7505189416468E-3</v>
      </c>
      <c r="H83" s="50"/>
      <c r="I83" s="1"/>
      <c r="J83" s="84"/>
    </row>
    <row r="84" spans="1:17" s="3" customFormat="1">
      <c r="A84" s="8">
        <v>3156</v>
      </c>
      <c r="B84" s="10">
        <v>8.4794754153027097E-4</v>
      </c>
      <c r="C84" s="10">
        <v>6.0770454360619102E-4</v>
      </c>
      <c r="D84" s="10">
        <v>9.6300517304712908E-7</v>
      </c>
      <c r="E84" s="59">
        <v>36754</v>
      </c>
      <c r="F84" s="11" t="s">
        <v>11</v>
      </c>
      <c r="G84" s="53">
        <v>-4.8523090972816298E-3</v>
      </c>
      <c r="H84" s="50"/>
      <c r="I84" s="1"/>
      <c r="J84" s="84"/>
    </row>
    <row r="85" spans="1:17" s="3" customFormat="1">
      <c r="A85" s="8">
        <v>3172</v>
      </c>
      <c r="B85" s="10">
        <v>1.0968644648316501E-3</v>
      </c>
      <c r="C85" s="10">
        <v>5.3759314932753E-4</v>
      </c>
      <c r="D85" s="10">
        <v>2.1162991609269E-6</v>
      </c>
      <c r="E85" s="59">
        <v>36751</v>
      </c>
      <c r="F85" s="11" t="s">
        <v>16</v>
      </c>
      <c r="G85" s="53">
        <v>-6.9317638509325296E-4</v>
      </c>
      <c r="H85" s="50"/>
      <c r="I85" s="1"/>
      <c r="J85" s="84"/>
    </row>
    <row r="86" spans="1:17" s="3" customFormat="1">
      <c r="A86" s="93">
        <v>3173</v>
      </c>
      <c r="B86" s="10">
        <v>1.0499404661428E-3</v>
      </c>
      <c r="C86" s="10">
        <v>5.5683699004629896E-4</v>
      </c>
      <c r="D86" s="10">
        <v>1.7945480122140601E-6</v>
      </c>
      <c r="E86" s="59">
        <v>41131</v>
      </c>
      <c r="F86" s="11" t="s">
        <v>44</v>
      </c>
      <c r="G86" s="53">
        <v>-9.0426990317709496E-2</v>
      </c>
      <c r="H86" s="50" t="s">
        <v>33</v>
      </c>
      <c r="I86" s="1"/>
      <c r="J86" s="84"/>
    </row>
    <row r="87" spans="1:17" s="3" customFormat="1">
      <c r="A87" s="93">
        <v>3173</v>
      </c>
      <c r="B87" s="10">
        <v>9.9063456147215003E-4</v>
      </c>
      <c r="C87" s="10">
        <v>5.7870103329278198E-4</v>
      </c>
      <c r="D87" s="10">
        <v>1.35715104107768E-6</v>
      </c>
      <c r="E87" s="59">
        <v>40206</v>
      </c>
      <c r="F87" s="86" t="s">
        <v>0</v>
      </c>
      <c r="G87" s="87">
        <v>9.7081575919432297E-2</v>
      </c>
      <c r="H87" s="50" t="s">
        <v>33</v>
      </c>
      <c r="I87" s="1"/>
      <c r="J87" s="84"/>
    </row>
    <row r="88" spans="1:17" s="3" customFormat="1">
      <c r="A88" s="8">
        <v>3173</v>
      </c>
      <c r="B88" s="10">
        <v>9.8857263170241895E-4</v>
      </c>
      <c r="C88" s="10">
        <v>5.7957217986156096E-4</v>
      </c>
      <c r="D88" s="10">
        <v>1.3353952647621199E-6</v>
      </c>
      <c r="E88" s="59">
        <v>39667</v>
      </c>
      <c r="F88" s="41" t="s">
        <v>42</v>
      </c>
      <c r="G88" s="53">
        <v>9.6413361786773094E-2</v>
      </c>
      <c r="H88" s="50" t="s">
        <v>33</v>
      </c>
      <c r="I88" s="1"/>
      <c r="J88" s="80"/>
    </row>
    <row r="89" spans="1:17" s="3" customFormat="1">
      <c r="A89" s="8">
        <v>3173</v>
      </c>
      <c r="B89" s="10">
        <v>9.8745599551672497E-4</v>
      </c>
      <c r="C89" s="10">
        <v>5.79951988446177E-4</v>
      </c>
      <c r="D89" s="10">
        <v>1.3276103261382599E-6</v>
      </c>
      <c r="E89" s="59">
        <v>39274</v>
      </c>
      <c r="F89" s="41" t="s">
        <v>38</v>
      </c>
      <c r="G89" s="53">
        <v>9.4979999999999995E-2</v>
      </c>
      <c r="H89" s="50" t="s">
        <v>39</v>
      </c>
      <c r="I89" s="1"/>
      <c r="J89" s="82"/>
    </row>
    <row r="90" spans="1:17" s="3" customFormat="1">
      <c r="A90" s="8">
        <v>3173</v>
      </c>
      <c r="B90" s="10">
        <v>1.03153964875456E-3</v>
      </c>
      <c r="C90" s="10">
        <v>5.63335781603684E-4</v>
      </c>
      <c r="D90" s="10">
        <v>1.6739112710904799E-6</v>
      </c>
      <c r="E90" s="59">
        <v>38400</v>
      </c>
      <c r="F90" s="41" t="s">
        <v>32</v>
      </c>
      <c r="G90" s="53">
        <v>2.2985857114626598E-2</v>
      </c>
      <c r="H90" s="50" t="s">
        <v>33</v>
      </c>
      <c r="I90" s="1"/>
      <c r="J90" s="82"/>
    </row>
    <row r="91" spans="1:17" s="3" customFormat="1">
      <c r="A91" s="8">
        <v>3173</v>
      </c>
      <c r="B91" s="10">
        <v>9.7697220562382092E-4</v>
      </c>
      <c r="C91" s="10">
        <v>5.8391592203618802E-4</v>
      </c>
      <c r="D91" s="10">
        <v>1.2453350093860899E-6</v>
      </c>
      <c r="E91" s="59">
        <v>37145</v>
      </c>
      <c r="F91" s="41" t="s">
        <v>27</v>
      </c>
      <c r="G91" s="53">
        <v>9.4707205805676195E-2</v>
      </c>
      <c r="H91" s="50" t="s">
        <v>29</v>
      </c>
      <c r="I91" s="1"/>
      <c r="J91" s="82"/>
    </row>
    <row r="92" spans="1:17" s="3" customFormat="1">
      <c r="A92" s="8">
        <v>3174</v>
      </c>
      <c r="B92" s="10">
        <v>1.0620334146818199E-3</v>
      </c>
      <c r="C92" s="10">
        <v>5.4855697175063901E-4</v>
      </c>
      <c r="D92" s="10">
        <v>1.9774896775125001E-6</v>
      </c>
      <c r="E92" s="59">
        <v>36751</v>
      </c>
      <c r="F92" s="11" t="s">
        <v>16</v>
      </c>
      <c r="G92" s="53">
        <v>-1.55321709802303E-3</v>
      </c>
      <c r="H92" s="50"/>
      <c r="I92" s="1"/>
      <c r="J92" s="82"/>
    </row>
    <row r="93" spans="1:17" s="3" customFormat="1">
      <c r="A93" s="8">
        <v>3175</v>
      </c>
      <c r="B93" s="10">
        <v>1.0286753438240399E-3</v>
      </c>
      <c r="C93" s="10">
        <v>5.5968751901974798E-4</v>
      </c>
      <c r="D93" s="10">
        <v>1.80562869465108E-6</v>
      </c>
      <c r="E93" s="59">
        <v>36816</v>
      </c>
      <c r="F93" s="11" t="s">
        <v>12</v>
      </c>
      <c r="G93" s="53">
        <v>2.92615342958702E-3</v>
      </c>
      <c r="H93" s="50"/>
      <c r="I93" s="1"/>
      <c r="J93" s="82"/>
    </row>
    <row r="94" spans="1:17" s="3" customFormat="1">
      <c r="A94" s="17">
        <v>3175</v>
      </c>
      <c r="B94" s="18">
        <v>8.9678208914591498E-4</v>
      </c>
      <c r="C94" s="18">
        <v>6.0591563043817297E-4</v>
      </c>
      <c r="D94" s="18">
        <v>9.6959911456292006E-7</v>
      </c>
      <c r="E94" s="63">
        <v>36798</v>
      </c>
      <c r="F94" s="19" t="s">
        <v>13</v>
      </c>
      <c r="G94" s="55"/>
      <c r="H94" s="50"/>
      <c r="I94" s="1"/>
      <c r="Q94" s="1"/>
    </row>
    <row r="95" spans="1:17" s="3" customFormat="1">
      <c r="A95" s="8">
        <v>3175</v>
      </c>
      <c r="B95" s="10">
        <v>8.7611928623017299E-4</v>
      </c>
      <c r="C95" s="10">
        <v>6.1040491614177197E-4</v>
      </c>
      <c r="D95" s="10">
        <v>9.5870111372574009E-7</v>
      </c>
      <c r="E95" s="59">
        <v>36754</v>
      </c>
      <c r="F95" s="11" t="s">
        <v>11</v>
      </c>
      <c r="G95" s="53">
        <v>1.0018327187934399E-2</v>
      </c>
      <c r="H95" s="50"/>
      <c r="I95" s="1"/>
    </row>
    <row r="96" spans="1:17" s="3" customFormat="1">
      <c r="A96" s="8">
        <v>3176</v>
      </c>
      <c r="B96" s="10">
        <v>9.8919537911952202E-4</v>
      </c>
      <c r="C96" s="10">
        <v>5.7563313693888697E-4</v>
      </c>
      <c r="D96" s="10">
        <v>1.4177634513485201E-6</v>
      </c>
      <c r="E96" s="59">
        <v>38400</v>
      </c>
      <c r="F96" s="41" t="s">
        <v>32</v>
      </c>
      <c r="G96" s="53">
        <v>-2.99597506029343E-2</v>
      </c>
      <c r="H96" s="50" t="s">
        <v>33</v>
      </c>
      <c r="I96" s="93"/>
      <c r="J96" s="10"/>
    </row>
    <row r="97" spans="1:10" s="3" customFormat="1">
      <c r="A97" s="8">
        <v>3176</v>
      </c>
      <c r="B97" s="10">
        <v>9.2709577338690005E-4</v>
      </c>
      <c r="C97" s="10">
        <v>5.9901500772262099E-4</v>
      </c>
      <c r="D97" s="10">
        <v>9.3296636273282703E-7</v>
      </c>
      <c r="E97" s="59">
        <v>37145</v>
      </c>
      <c r="F97" s="41" t="s">
        <v>27</v>
      </c>
      <c r="G97" s="53">
        <v>0.108582763468192</v>
      </c>
      <c r="H97" s="50" t="s">
        <v>29</v>
      </c>
      <c r="I97" s="1"/>
    </row>
    <row r="98" spans="1:10" s="3" customFormat="1">
      <c r="A98" s="8">
        <v>3184</v>
      </c>
      <c r="B98" s="10">
        <v>4.10219455127612E-4</v>
      </c>
      <c r="C98" s="10">
        <v>6.1103078036787496E-4</v>
      </c>
      <c r="D98" s="10">
        <v>4.6488832304601002E-7</v>
      </c>
      <c r="E98" s="59">
        <v>36695</v>
      </c>
      <c r="F98" s="11" t="s">
        <v>15</v>
      </c>
      <c r="G98" s="53">
        <v>0.18321314684197901</v>
      </c>
      <c r="H98" s="50" t="s">
        <v>7</v>
      </c>
      <c r="I98" s="1"/>
    </row>
    <row r="99" spans="1:10" s="3" customFormat="1">
      <c r="A99" s="8">
        <v>3185</v>
      </c>
      <c r="B99" s="10">
        <v>9.1131619371308302E-4</v>
      </c>
      <c r="C99" s="10">
        <v>6.0379784774729E-4</v>
      </c>
      <c r="D99" s="10">
        <v>8.34031089223923E-7</v>
      </c>
      <c r="E99" s="59">
        <v>41513</v>
      </c>
      <c r="F99" s="41" t="s">
        <v>45</v>
      </c>
      <c r="G99" s="53">
        <v>0.16940624683722699</v>
      </c>
      <c r="H99" s="50" t="s">
        <v>33</v>
      </c>
      <c r="I99" s="1"/>
    </row>
    <row r="100" spans="1:10" s="3" customFormat="1">
      <c r="A100" s="93">
        <v>3185</v>
      </c>
      <c r="B100" s="10">
        <v>9.7621118184871799E-4</v>
      </c>
      <c r="C100" s="10">
        <v>5.79975359122863E-4</v>
      </c>
      <c r="D100" s="10">
        <v>1.3057809727133799E-6</v>
      </c>
      <c r="E100" s="59">
        <v>41131</v>
      </c>
      <c r="F100" s="11" t="s">
        <v>44</v>
      </c>
      <c r="G100" s="53">
        <v>-0.15425993613102701</v>
      </c>
      <c r="H100" s="50" t="s">
        <v>33</v>
      </c>
      <c r="I100" s="20"/>
    </row>
    <row r="101" spans="1:10" s="3" customFormat="1">
      <c r="A101" s="8">
        <v>3185</v>
      </c>
      <c r="B101" s="10">
        <v>9.1360091141611996E-4</v>
      </c>
      <c r="C101" s="10">
        <v>6.0306717075470496E-4</v>
      </c>
      <c r="D101" s="10">
        <v>8.4417694448835305E-7</v>
      </c>
      <c r="E101" s="59">
        <v>39667</v>
      </c>
      <c r="F101" s="41" t="s">
        <v>42</v>
      </c>
      <c r="G101" s="53">
        <v>0.162392423555872</v>
      </c>
      <c r="H101" s="50" t="s">
        <v>33</v>
      </c>
      <c r="I101" s="20"/>
    </row>
    <row r="102" spans="1:10" s="3" customFormat="1">
      <c r="A102" s="8">
        <v>3185</v>
      </c>
      <c r="B102" s="10">
        <v>9.1155161969363996E-4</v>
      </c>
      <c r="C102" s="10">
        <v>6.0370209719741398E-4</v>
      </c>
      <c r="D102" s="10">
        <v>8.3475058511313198E-7</v>
      </c>
      <c r="E102" s="59">
        <v>38944</v>
      </c>
      <c r="F102" s="41" t="s">
        <v>35</v>
      </c>
      <c r="G102" s="53">
        <v>0.16353232722587999</v>
      </c>
      <c r="H102" s="50" t="s">
        <v>33</v>
      </c>
      <c r="I102" s="20"/>
    </row>
    <row r="103" spans="1:10" s="3" customFormat="1">
      <c r="A103" s="8">
        <v>3185</v>
      </c>
      <c r="B103" s="10">
        <v>9.1041353472747204E-4</v>
      </c>
      <c r="C103" s="10">
        <v>6.0415807305009997E-4</v>
      </c>
      <c r="D103" s="10">
        <v>8.2396628995992505E-7</v>
      </c>
      <c r="E103" s="59">
        <v>38793</v>
      </c>
      <c r="F103" s="41" t="s">
        <v>2</v>
      </c>
      <c r="G103" s="53">
        <v>0.16390553040554301</v>
      </c>
      <c r="H103" s="50" t="s">
        <v>33</v>
      </c>
      <c r="I103" s="1"/>
    </row>
    <row r="104" spans="1:10" s="3" customFormat="1">
      <c r="A104" s="8">
        <v>3185</v>
      </c>
      <c r="B104" s="10">
        <v>9.1041353472747204E-4</v>
      </c>
      <c r="C104" s="10">
        <v>6.0415807305009997E-4</v>
      </c>
      <c r="D104" s="10">
        <v>8.2396628995992505E-7</v>
      </c>
      <c r="E104" s="59">
        <v>38793</v>
      </c>
      <c r="F104" s="41" t="s">
        <v>2</v>
      </c>
      <c r="G104" s="53">
        <v>0.16390553040554301</v>
      </c>
      <c r="H104" s="50" t="s">
        <v>33</v>
      </c>
      <c r="I104" s="1"/>
    </row>
    <row r="105" spans="1:10" s="3" customFormat="1">
      <c r="A105" s="8">
        <v>3185</v>
      </c>
      <c r="B105" s="10">
        <v>9.8857811129160608E-4</v>
      </c>
      <c r="C105" s="10">
        <v>5.7496720080348898E-4</v>
      </c>
      <c r="D105" s="10">
        <v>1.4205285527114899E-6</v>
      </c>
      <c r="E105" s="59">
        <v>38400</v>
      </c>
      <c r="F105" s="41" t="s">
        <v>32</v>
      </c>
      <c r="G105" s="53">
        <v>3.00054139122992E-2</v>
      </c>
      <c r="H105" s="50" t="s">
        <v>7</v>
      </c>
      <c r="I105" s="1"/>
    </row>
    <row r="106" spans="1:10" s="3" customFormat="1">
      <c r="A106" s="8">
        <v>3185</v>
      </c>
      <c r="B106" s="10">
        <v>1.17854600020142E-3</v>
      </c>
      <c r="C106" s="10">
        <v>5.0820624714919096E-4</v>
      </c>
      <c r="D106" s="10">
        <v>2.64101583639913E-6</v>
      </c>
      <c r="E106" s="59">
        <v>36723</v>
      </c>
      <c r="F106" s="11" t="s">
        <v>10</v>
      </c>
      <c r="G106" s="53">
        <v>-5.0640494536313696E-4</v>
      </c>
      <c r="H106" s="50"/>
      <c r="I106" s="1"/>
    </row>
    <row r="107" spans="1:10" s="3" customFormat="1">
      <c r="A107" s="8">
        <v>3195</v>
      </c>
      <c r="B107" s="10">
        <v>9.50269714348619E-4</v>
      </c>
      <c r="C107" s="10">
        <v>5.8737073005587798E-4</v>
      </c>
      <c r="D107" s="10">
        <v>1.14951995527837E-6</v>
      </c>
      <c r="E107" s="59">
        <v>41513</v>
      </c>
      <c r="F107" s="41" t="s">
        <v>45</v>
      </c>
      <c r="G107" s="53">
        <v>0.120868830982985</v>
      </c>
      <c r="H107" s="50" t="s">
        <v>33</v>
      </c>
      <c r="I107" s="1"/>
    </row>
    <row r="108" spans="1:10" s="3" customFormat="1">
      <c r="A108" s="93">
        <v>3195</v>
      </c>
      <c r="B108" s="10">
        <v>1.00980930598402E-3</v>
      </c>
      <c r="C108" s="10">
        <v>5.6557298682093299E-4</v>
      </c>
      <c r="D108" s="10">
        <v>1.5777984198603401E-6</v>
      </c>
      <c r="E108" s="59">
        <v>41131</v>
      </c>
      <c r="F108" s="11" t="s">
        <v>44</v>
      </c>
      <c r="G108" s="53">
        <v>-0.115922642954487</v>
      </c>
      <c r="H108" s="50" t="s">
        <v>33</v>
      </c>
      <c r="I108" s="1"/>
    </row>
    <row r="109" spans="1:10" s="3" customFormat="1">
      <c r="A109" s="13">
        <v>3195</v>
      </c>
      <c r="B109" s="14">
        <v>1.1130270514970501E-3</v>
      </c>
      <c r="C109" s="14">
        <v>5.2821784524448702E-4</v>
      </c>
      <c r="D109" s="14">
        <v>2.2988065041185501E-6</v>
      </c>
      <c r="E109" s="61">
        <v>36723</v>
      </c>
      <c r="F109" s="16" t="s">
        <v>10</v>
      </c>
      <c r="G109" s="54">
        <v>3.67474585165639E-3</v>
      </c>
      <c r="H109" s="50"/>
      <c r="I109" s="1"/>
    </row>
    <row r="110" spans="1:10" s="3" customFormat="1">
      <c r="A110" s="8">
        <v>3196</v>
      </c>
      <c r="B110" s="10">
        <v>8.7799469091992197E-4</v>
      </c>
      <c r="C110" s="10">
        <v>6.0389543414402695E-4</v>
      </c>
      <c r="D110" s="10">
        <v>8.6807719666024097E-7</v>
      </c>
      <c r="E110" s="59">
        <v>41513</v>
      </c>
      <c r="F110" s="41" t="s">
        <v>45</v>
      </c>
      <c r="G110" s="53">
        <v>0.12881946476140599</v>
      </c>
      <c r="H110" s="50" t="s">
        <v>33</v>
      </c>
      <c r="I110" s="1"/>
    </row>
    <row r="111" spans="1:10" s="3" customFormat="1">
      <c r="A111" s="93">
        <v>3196</v>
      </c>
      <c r="B111" s="10">
        <v>9.4260996589477103E-4</v>
      </c>
      <c r="C111" s="10">
        <v>5.80423631716456E-4</v>
      </c>
      <c r="D111" s="10">
        <v>1.32342627587342E-6</v>
      </c>
      <c r="E111" s="59">
        <v>41131</v>
      </c>
      <c r="F111" s="11" t="s">
        <v>44</v>
      </c>
      <c r="G111" s="53">
        <v>-0.114137430526782</v>
      </c>
      <c r="H111" s="50" t="s">
        <v>33</v>
      </c>
      <c r="I111" s="1"/>
    </row>
    <row r="112" spans="1:10">
      <c r="A112" s="13">
        <v>3196</v>
      </c>
      <c r="B112" s="14">
        <v>8.7691580700918401E-4</v>
      </c>
      <c r="C112" s="14">
        <v>6.0433282033346301E-4</v>
      </c>
      <c r="D112" s="14">
        <v>8.56595056156477E-7</v>
      </c>
      <c r="E112" s="59">
        <v>39274</v>
      </c>
      <c r="F112" s="41" t="s">
        <v>38</v>
      </c>
      <c r="G112" s="53">
        <v>0.12895999999999999</v>
      </c>
      <c r="H112" s="50" t="s">
        <v>39</v>
      </c>
      <c r="J112" s="3"/>
    </row>
    <row r="113" spans="1:12" s="3" customFormat="1">
      <c r="A113" s="13">
        <v>3196</v>
      </c>
      <c r="B113" s="14">
        <v>8.7547864967700703E-4</v>
      </c>
      <c r="C113" s="14">
        <v>6.0485007832464797E-4</v>
      </c>
      <c r="D113" s="14">
        <v>8.4797281390054396E-7</v>
      </c>
      <c r="E113" s="60">
        <v>38212</v>
      </c>
      <c r="F113" s="41" t="s">
        <v>34</v>
      </c>
      <c r="G113" s="53">
        <v>0.127881539418638</v>
      </c>
      <c r="H113" s="50" t="s">
        <v>33</v>
      </c>
      <c r="I113" s="1"/>
    </row>
    <row r="114" spans="1:12" s="3" customFormat="1">
      <c r="A114" s="8">
        <v>3196</v>
      </c>
      <c r="B114" s="39">
        <v>8.6842446607314396E-4</v>
      </c>
      <c r="C114" s="39">
        <v>6.0754200244978504E-4</v>
      </c>
      <c r="D114" s="39">
        <v>7.8930475123544603E-7</v>
      </c>
      <c r="E114" s="59">
        <v>36694</v>
      </c>
      <c r="F114" s="11" t="s">
        <v>15</v>
      </c>
      <c r="G114" s="53">
        <v>0.12736673043792701</v>
      </c>
      <c r="H114" s="50" t="s">
        <v>26</v>
      </c>
      <c r="I114" s="1"/>
      <c r="J114" s="84"/>
    </row>
    <row r="115" spans="1:12" s="3" customFormat="1">
      <c r="A115" s="8">
        <v>3197</v>
      </c>
      <c r="B115" s="10">
        <v>8.9107323797051898E-4</v>
      </c>
      <c r="C115" s="10">
        <v>6.0917390308784904E-4</v>
      </c>
      <c r="D115" s="10">
        <v>7.5096731781307795E-7</v>
      </c>
      <c r="E115" s="59">
        <v>41513</v>
      </c>
      <c r="F115" s="41" t="s">
        <v>45</v>
      </c>
      <c r="G115" s="53">
        <v>0.181150228979888</v>
      </c>
      <c r="H115" s="50" t="s">
        <v>33</v>
      </c>
      <c r="I115" s="1"/>
      <c r="J115" s="84"/>
    </row>
    <row r="116" spans="1:12" s="3" customFormat="1">
      <c r="A116" s="8">
        <v>3197</v>
      </c>
      <c r="B116" s="39">
        <v>1.03359595832949E-3</v>
      </c>
      <c r="C116" s="39">
        <v>5.56386085677961E-4</v>
      </c>
      <c r="D116" s="39">
        <v>1.81273243610255E-6</v>
      </c>
      <c r="E116" s="59">
        <v>40733</v>
      </c>
      <c r="F116" s="11" t="s">
        <v>40</v>
      </c>
      <c r="G116" s="53">
        <v>-9.2985527820132997E-4</v>
      </c>
      <c r="H116" s="50" t="s">
        <v>43</v>
      </c>
      <c r="I116" s="1"/>
      <c r="J116" s="84"/>
    </row>
    <row r="117" spans="1:12" s="3" customFormat="1">
      <c r="A117" s="93">
        <v>3197</v>
      </c>
      <c r="B117" s="10">
        <v>8.87644747050628E-4</v>
      </c>
      <c r="C117" s="10">
        <v>6.1046422821815001E-4</v>
      </c>
      <c r="D117" s="10">
        <v>7.2391750786292397E-7</v>
      </c>
      <c r="E117" s="59">
        <v>40206</v>
      </c>
      <c r="F117" s="86" t="s">
        <v>0</v>
      </c>
      <c r="G117" s="87">
        <v>0.18339597557540799</v>
      </c>
      <c r="H117" s="50" t="s">
        <v>33</v>
      </c>
      <c r="I117" s="1"/>
      <c r="J117" s="84"/>
    </row>
    <row r="118" spans="1:12" s="3" customFormat="1">
      <c r="A118" s="8">
        <v>3197</v>
      </c>
      <c r="B118" s="39">
        <v>8.9071349260755198E-4</v>
      </c>
      <c r="C118" s="39">
        <v>6.0937449988593504E-4</v>
      </c>
      <c r="D118" s="39">
        <v>7.44587847125165E-7</v>
      </c>
      <c r="E118" s="59">
        <v>39667</v>
      </c>
      <c r="F118" s="41" t="s">
        <v>42</v>
      </c>
      <c r="G118" s="53">
        <v>0.18421278097756</v>
      </c>
      <c r="H118" s="50" t="s">
        <v>33</v>
      </c>
      <c r="I118" s="1"/>
      <c r="J118" s="84"/>
    </row>
    <row r="119" spans="1:12" s="3" customFormat="1">
      <c r="A119" s="8">
        <v>3197</v>
      </c>
      <c r="B119" s="39">
        <v>8.9064118165513501E-4</v>
      </c>
      <c r="C119" s="39">
        <v>6.0933012812503797E-4</v>
      </c>
      <c r="D119" s="39">
        <v>7.4698960011130603E-7</v>
      </c>
      <c r="E119" s="59">
        <v>38944</v>
      </c>
      <c r="F119" s="41" t="s">
        <v>35</v>
      </c>
      <c r="G119" s="53">
        <v>0.18338719497018</v>
      </c>
      <c r="H119" s="50" t="s">
        <v>33</v>
      </c>
      <c r="I119" s="1"/>
      <c r="J119" s="84"/>
    </row>
    <row r="120" spans="1:12" s="3" customFormat="1">
      <c r="A120" s="8">
        <v>3197</v>
      </c>
      <c r="B120" s="39">
        <v>8.8957472465966698E-4</v>
      </c>
      <c r="C120" s="39">
        <v>6.0975158624557504E-4</v>
      </c>
      <c r="D120" s="39">
        <v>7.3703242467185296E-7</v>
      </c>
      <c r="E120" s="59">
        <v>38793</v>
      </c>
      <c r="F120" s="41" t="s">
        <v>2</v>
      </c>
      <c r="G120" s="53">
        <v>0.18482817123970099</v>
      </c>
      <c r="H120" s="50" t="s">
        <v>33</v>
      </c>
      <c r="I120" s="1"/>
      <c r="J120" s="84"/>
      <c r="K120" s="82"/>
      <c r="L120" s="79"/>
    </row>
    <row r="121" spans="1:12" s="3" customFormat="1">
      <c r="A121" s="8">
        <v>3197</v>
      </c>
      <c r="B121" s="39">
        <v>8.8957472465966698E-4</v>
      </c>
      <c r="C121" s="39">
        <v>6.0975158624557504E-4</v>
      </c>
      <c r="D121" s="39">
        <v>7.3703242467185296E-7</v>
      </c>
      <c r="E121" s="59">
        <v>38793</v>
      </c>
      <c r="F121" s="41" t="s">
        <v>2</v>
      </c>
      <c r="G121" s="53">
        <v>0.18482817123970099</v>
      </c>
      <c r="H121" s="50" t="s">
        <v>33</v>
      </c>
      <c r="I121" s="1"/>
      <c r="J121" s="84"/>
      <c r="K121" s="82"/>
      <c r="L121" s="85"/>
    </row>
    <row r="122" spans="1:12" s="3" customFormat="1">
      <c r="A122" s="8">
        <v>3197</v>
      </c>
      <c r="B122" s="39">
        <v>8.8663391018124901E-4</v>
      </c>
      <c r="C122" s="39">
        <v>6.1084424993988902E-4</v>
      </c>
      <c r="D122" s="39">
        <v>7.1740600068116099E-7</v>
      </c>
      <c r="E122" s="60">
        <v>38212</v>
      </c>
      <c r="F122" s="41" t="s">
        <v>34</v>
      </c>
      <c r="G122" s="53">
        <v>0.18502588010090901</v>
      </c>
      <c r="H122" s="50" t="s">
        <v>7</v>
      </c>
      <c r="I122" s="1"/>
      <c r="J122" s="80"/>
      <c r="K122" s="83"/>
      <c r="L122" s="100"/>
    </row>
    <row r="123" spans="1:12" s="3" customFormat="1">
      <c r="A123" s="13">
        <v>3197</v>
      </c>
      <c r="B123" s="40">
        <v>8.80438971121654E-4</v>
      </c>
      <c r="C123" s="40">
        <v>6.1327658949786399E-4</v>
      </c>
      <c r="D123" s="40">
        <v>6.6092267948694399E-7</v>
      </c>
      <c r="E123" s="61">
        <v>36695</v>
      </c>
      <c r="F123" s="15" t="s">
        <v>15</v>
      </c>
      <c r="G123" s="54">
        <v>0.18381803078278799</v>
      </c>
      <c r="H123" s="50" t="s">
        <v>26</v>
      </c>
      <c r="I123" s="1"/>
      <c r="J123" s="84"/>
      <c r="K123" s="82"/>
      <c r="L123" s="101"/>
    </row>
    <row r="124" spans="1:12" s="3" customFormat="1">
      <c r="A124" s="13">
        <v>3198</v>
      </c>
      <c r="B124" s="40">
        <v>1.1716053820042399E-3</v>
      </c>
      <c r="C124" s="40">
        <v>4.9814632101101495E-4</v>
      </c>
      <c r="D124" s="40">
        <v>2.7870074256549499E-6</v>
      </c>
      <c r="E124" s="61">
        <v>36723</v>
      </c>
      <c r="F124" s="15" t="s">
        <v>10</v>
      </c>
      <c r="G124" s="54">
        <v>-1.87901065914442E-3</v>
      </c>
      <c r="H124" s="50"/>
      <c r="I124" s="1"/>
      <c r="J124" s="84"/>
      <c r="K124" s="84"/>
      <c r="L124" s="101"/>
    </row>
    <row r="125" spans="1:12" s="3" customFormat="1">
      <c r="A125" s="8">
        <v>3201</v>
      </c>
      <c r="B125" s="10">
        <v>9.0171028364231104E-4</v>
      </c>
      <c r="C125" s="10">
        <v>6.0685948006657803E-4</v>
      </c>
      <c r="D125" s="10">
        <v>8.0191753397995197E-7</v>
      </c>
      <c r="E125" s="59">
        <v>41513</v>
      </c>
      <c r="F125" s="41" t="s">
        <v>45</v>
      </c>
      <c r="G125" s="53">
        <v>0.182580050187752</v>
      </c>
      <c r="H125" s="50" t="s">
        <v>33</v>
      </c>
      <c r="I125" s="1"/>
      <c r="J125" s="84"/>
      <c r="K125" s="84"/>
      <c r="L125" s="97"/>
    </row>
    <row r="126" spans="1:12" s="3" customFormat="1">
      <c r="A126" s="93">
        <v>3201</v>
      </c>
      <c r="B126" s="10">
        <v>9.6303393093585799E-4</v>
      </c>
      <c r="C126" s="10">
        <v>5.8436250880925596E-4</v>
      </c>
      <c r="D126" s="10">
        <v>1.24735080249063E-6</v>
      </c>
      <c r="E126" s="59">
        <v>41131</v>
      </c>
      <c r="F126" s="11" t="s">
        <v>44</v>
      </c>
      <c r="G126" s="53">
        <v>-0.17104331489586899</v>
      </c>
      <c r="H126" s="50" t="s">
        <v>33</v>
      </c>
      <c r="I126" s="1"/>
      <c r="J126" s="84"/>
      <c r="K126" s="82"/>
      <c r="L126" s="98"/>
    </row>
    <row r="127" spans="1:12" s="3" customFormat="1">
      <c r="A127" s="93">
        <v>3201</v>
      </c>
      <c r="B127" s="10">
        <v>9.0043207560590896E-4</v>
      </c>
      <c r="C127" s="10">
        <v>6.0744040796009799E-4</v>
      </c>
      <c r="D127" s="10">
        <v>7.8585845346681597E-7</v>
      </c>
      <c r="E127" s="59">
        <v>40206</v>
      </c>
      <c r="F127" s="86" t="s">
        <v>0</v>
      </c>
      <c r="G127" s="87">
        <v>0.17953301540931901</v>
      </c>
      <c r="H127" s="50" t="s">
        <v>33</v>
      </c>
      <c r="I127" s="1"/>
      <c r="J127" s="82"/>
      <c r="K127" s="83"/>
      <c r="L127" s="99"/>
    </row>
    <row r="128" spans="1:12" s="3" customFormat="1">
      <c r="A128" s="13">
        <v>3201</v>
      </c>
      <c r="B128" s="40">
        <v>9.00805476556225E-4</v>
      </c>
      <c r="C128" s="40">
        <v>6.0726922434652998E-4</v>
      </c>
      <c r="D128" s="40">
        <v>7.9177156664969499E-7</v>
      </c>
      <c r="E128" s="59">
        <v>39667</v>
      </c>
      <c r="F128" s="41" t="s">
        <v>42</v>
      </c>
      <c r="G128" s="53">
        <v>0.181143447264589</v>
      </c>
      <c r="H128" s="50" t="s">
        <v>33</v>
      </c>
      <c r="I128" s="1"/>
      <c r="J128" s="83"/>
      <c r="K128" s="82"/>
      <c r="L128" s="99"/>
    </row>
    <row r="129" spans="1:16" s="3" customFormat="1">
      <c r="A129" s="13">
        <v>3201</v>
      </c>
      <c r="B129" s="40">
        <v>8.9818559354575196E-4</v>
      </c>
      <c r="C129" s="40">
        <v>6.0815302224835101E-4</v>
      </c>
      <c r="D129" s="40">
        <v>7.7381177574621395E-7</v>
      </c>
      <c r="E129" s="59">
        <v>38944</v>
      </c>
      <c r="F129" s="41" t="s">
        <v>35</v>
      </c>
      <c r="G129" s="53">
        <v>0.18207796314851499</v>
      </c>
      <c r="H129" s="50" t="s">
        <v>33</v>
      </c>
      <c r="I129" s="1"/>
      <c r="J129" s="82"/>
      <c r="K129" s="84"/>
      <c r="L129" s="99"/>
    </row>
    <row r="130" spans="1:16">
      <c r="A130" s="13">
        <v>3201</v>
      </c>
      <c r="B130" s="40">
        <v>8.9685944613721795E-4</v>
      </c>
      <c r="C130" s="40">
        <v>6.0865219194637297E-4</v>
      </c>
      <c r="D130" s="40">
        <v>7.6295521455946304E-7</v>
      </c>
      <c r="E130" s="59">
        <v>38793</v>
      </c>
      <c r="F130" s="41" t="s">
        <v>2</v>
      </c>
      <c r="G130" s="53">
        <v>0.18059667994918999</v>
      </c>
      <c r="H130" s="50" t="s">
        <v>33</v>
      </c>
      <c r="J130" s="84"/>
      <c r="K130" s="84"/>
      <c r="L130" s="102"/>
    </row>
    <row r="131" spans="1:16" s="3" customFormat="1">
      <c r="A131" s="13">
        <v>3201</v>
      </c>
      <c r="B131" s="40">
        <v>8.9685944613721795E-4</v>
      </c>
      <c r="C131" s="40">
        <v>6.0865219194637297E-4</v>
      </c>
      <c r="D131" s="40">
        <v>7.6295521455946304E-7</v>
      </c>
      <c r="E131" s="59">
        <v>38793</v>
      </c>
      <c r="F131" s="41" t="s">
        <v>2</v>
      </c>
      <c r="G131" s="53">
        <v>0.18059667994918999</v>
      </c>
      <c r="H131" s="50" t="s">
        <v>33</v>
      </c>
      <c r="I131" s="1"/>
      <c r="J131" s="84"/>
      <c r="K131" s="84"/>
      <c r="L131" s="99"/>
      <c r="M131" s="59"/>
      <c r="O131" s="87"/>
      <c r="P131" s="86"/>
    </row>
    <row r="132" spans="1:16" s="3" customFormat="1">
      <c r="A132" s="13">
        <v>3201</v>
      </c>
      <c r="B132" s="40">
        <v>9.846893065376971E-4</v>
      </c>
      <c r="C132" s="40">
        <v>5.7580043654256903E-4</v>
      </c>
      <c r="D132" s="40">
        <v>1.4370954660213099E-6</v>
      </c>
      <c r="E132" s="59">
        <v>38400</v>
      </c>
      <c r="F132" s="41" t="s">
        <v>32</v>
      </c>
      <c r="G132" s="53">
        <v>-3.0641041287829299E-2</v>
      </c>
      <c r="H132" s="50" t="s">
        <v>7</v>
      </c>
      <c r="I132" s="1"/>
      <c r="J132" s="82"/>
      <c r="K132" s="84"/>
      <c r="L132" s="99"/>
    </row>
    <row r="133" spans="1:16" s="3" customFormat="1">
      <c r="A133" s="13">
        <v>3201</v>
      </c>
      <c r="B133" s="40">
        <v>8.85708185859214E-4</v>
      </c>
      <c r="C133" s="40">
        <v>6.1299561123659505E-4</v>
      </c>
      <c r="D133" s="40">
        <v>6.6727819866353105E-7</v>
      </c>
      <c r="E133" s="61">
        <v>36695</v>
      </c>
      <c r="F133" s="15" t="s">
        <v>15</v>
      </c>
      <c r="G133" s="54">
        <v>0.17784041691032801</v>
      </c>
      <c r="H133" s="50" t="s">
        <v>26</v>
      </c>
      <c r="I133" s="1"/>
      <c r="J133" s="83"/>
      <c r="K133" s="84"/>
      <c r="L133" s="99"/>
    </row>
    <row r="134" spans="1:16" s="3" customFormat="1">
      <c r="A134" s="8">
        <v>3208</v>
      </c>
      <c r="B134" s="39">
        <v>3.9662969580761499E-4</v>
      </c>
      <c r="C134" s="39">
        <v>6.0603756419365298E-4</v>
      </c>
      <c r="D134" s="39">
        <v>5.5992871705021996E-7</v>
      </c>
      <c r="E134" s="59">
        <v>36695</v>
      </c>
      <c r="F134" s="11" t="s">
        <v>15</v>
      </c>
      <c r="G134" s="53">
        <v>0.169467576598436</v>
      </c>
      <c r="H134" s="50" t="s">
        <v>7</v>
      </c>
      <c r="I134" s="1"/>
      <c r="J134" s="82"/>
      <c r="K134" s="10"/>
      <c r="L134" s="99"/>
    </row>
    <row r="135" spans="1:16" s="3" customFormat="1">
      <c r="A135" s="8">
        <v>3211</v>
      </c>
      <c r="B135" s="39">
        <v>8.9266641425559399E-4</v>
      </c>
      <c r="C135" s="39">
        <v>6.1049263428011001E-4</v>
      </c>
      <c r="D135" s="39">
        <v>7.1532214705398399E-7</v>
      </c>
      <c r="E135" s="59">
        <v>36695</v>
      </c>
      <c r="F135" s="11" t="s">
        <v>15</v>
      </c>
      <c r="G135" s="53">
        <v>0.16596673341308599</v>
      </c>
      <c r="H135" s="50" t="s">
        <v>26</v>
      </c>
      <c r="I135" s="1"/>
      <c r="J135" s="84"/>
      <c r="L135" s="100"/>
    </row>
    <row r="136" spans="1:16" s="3" customFormat="1">
      <c r="A136" s="8">
        <v>3213</v>
      </c>
      <c r="B136" s="10">
        <v>1.11186911429827E-3</v>
      </c>
      <c r="C136" s="10">
        <v>5.3135668240323795E-4</v>
      </c>
      <c r="D136" s="10">
        <v>2.2313573238168602E-6</v>
      </c>
      <c r="E136" s="59">
        <v>36723</v>
      </c>
      <c r="F136" s="11" t="s">
        <v>10</v>
      </c>
      <c r="G136" s="53">
        <v>2.3999999999999998E-3</v>
      </c>
      <c r="H136" s="50"/>
      <c r="I136" s="1"/>
      <c r="J136" s="84"/>
      <c r="L136" s="101"/>
    </row>
    <row r="137" spans="1:16" s="3" customFormat="1">
      <c r="A137" s="21">
        <v>3251</v>
      </c>
      <c r="B137" s="22">
        <v>1.1380615716399701E-3</v>
      </c>
      <c r="C137" s="22">
        <v>5.1829845852682202E-4</v>
      </c>
      <c r="D137" s="22">
        <v>2.45906721885949E-6</v>
      </c>
      <c r="E137" s="64">
        <v>36724</v>
      </c>
      <c r="F137" s="23" t="s">
        <v>9</v>
      </c>
      <c r="G137" s="56">
        <v>7.8357250925664701E-4</v>
      </c>
      <c r="H137" s="50"/>
      <c r="I137" s="1"/>
      <c r="J137" s="84"/>
      <c r="L137" s="100"/>
    </row>
    <row r="138" spans="1:16" s="3" customFormat="1">
      <c r="A138" s="8">
        <v>3279</v>
      </c>
      <c r="B138" s="10">
        <v>1.1133868635163401E-3</v>
      </c>
      <c r="C138" s="10">
        <v>5.2589853839597397E-4</v>
      </c>
      <c r="D138" s="10">
        <v>2.2990695979533498E-6</v>
      </c>
      <c r="E138" s="59">
        <v>36723</v>
      </c>
      <c r="F138" s="11" t="s">
        <v>10</v>
      </c>
      <c r="G138" s="53">
        <v>4.0000000000000002E-4</v>
      </c>
      <c r="H138" s="50"/>
      <c r="I138" s="1"/>
      <c r="J138" s="84"/>
      <c r="L138" s="79"/>
    </row>
    <row r="139" spans="1:16" s="3" customFormat="1">
      <c r="A139" s="8">
        <v>3280</v>
      </c>
      <c r="B139" s="10">
        <v>-9.4906248110240203E-4</v>
      </c>
      <c r="C139" s="10">
        <v>1.23314201517499E-3</v>
      </c>
      <c r="D139" s="10">
        <v>-9.9123042450428599E-6</v>
      </c>
      <c r="E139" s="59">
        <v>36723</v>
      </c>
      <c r="F139" s="11" t="s">
        <v>10</v>
      </c>
      <c r="G139" s="53">
        <v>1.46E-2</v>
      </c>
      <c r="H139" s="50"/>
      <c r="I139" s="1"/>
      <c r="J139" s="84"/>
    </row>
    <row r="140" spans="1:16" s="3" customFormat="1">
      <c r="A140" s="21">
        <v>3281</v>
      </c>
      <c r="B140" s="22">
        <v>1.02924191955073E-3</v>
      </c>
      <c r="C140" s="22">
        <v>5.5091055443826998E-4</v>
      </c>
      <c r="D140" s="22">
        <v>1.9567181658880801E-6</v>
      </c>
      <c r="E140" s="64">
        <v>36723</v>
      </c>
      <c r="F140" s="23" t="s">
        <v>10</v>
      </c>
      <c r="G140" s="56">
        <v>-7.4379588361841399E-3</v>
      </c>
      <c r="H140" s="50"/>
      <c r="I140" s="1"/>
      <c r="J140" s="10"/>
    </row>
    <row r="141" spans="1:16" s="3" customFormat="1">
      <c r="A141" s="13">
        <v>3282</v>
      </c>
      <c r="B141" s="14">
        <v>9.8845354382102492E-4</v>
      </c>
      <c r="C141" s="14">
        <v>5.6982800007638397E-4</v>
      </c>
      <c r="D141" s="14">
        <v>1.5627655326531799E-6</v>
      </c>
      <c r="E141" s="61">
        <v>36724</v>
      </c>
      <c r="F141" s="15" t="s">
        <v>9</v>
      </c>
      <c r="G141" s="54">
        <v>-2.1723709389780401E-3</v>
      </c>
      <c r="H141" s="50"/>
      <c r="I141" s="1"/>
    </row>
    <row r="142" spans="1:16" s="3" customFormat="1">
      <c r="A142" s="13">
        <v>3285</v>
      </c>
      <c r="B142" s="14">
        <v>7.6935379627133995E-4</v>
      </c>
      <c r="C142" s="14">
        <v>6.4187356680797702E-4</v>
      </c>
      <c r="D142" s="14">
        <v>3.3122561546130098E-7</v>
      </c>
      <c r="E142" s="61">
        <v>36724</v>
      </c>
      <c r="F142" s="15" t="s">
        <v>9</v>
      </c>
      <c r="G142" s="54">
        <v>-1.16578760650254E-3</v>
      </c>
      <c r="H142" s="50"/>
      <c r="I142" s="1"/>
    </row>
    <row r="143" spans="1:16" s="3" customFormat="1">
      <c r="A143" s="13">
        <v>3287</v>
      </c>
      <c r="B143" s="14">
        <v>5.2574802412083796E-4</v>
      </c>
      <c r="C143" s="14">
        <v>5.67966258535908E-4</v>
      </c>
      <c r="D143" s="14">
        <v>1.1263341226606099E-6</v>
      </c>
      <c r="E143" s="61">
        <v>36695</v>
      </c>
      <c r="F143" s="16" t="s">
        <v>15</v>
      </c>
      <c r="G143" s="54">
        <v>-3.3506101146237199E-2</v>
      </c>
      <c r="H143" s="50" t="s">
        <v>7</v>
      </c>
      <c r="I143" s="1"/>
    </row>
    <row r="144" spans="1:16" s="3" customFormat="1">
      <c r="A144" s="8">
        <v>3288</v>
      </c>
      <c r="B144" s="10">
        <v>1.1004954640197399E-3</v>
      </c>
      <c r="C144" s="24">
        <v>5.28550416143921E-4</v>
      </c>
      <c r="D144" s="24">
        <v>2.22749814864277E-6</v>
      </c>
      <c r="E144" s="65">
        <v>36751</v>
      </c>
      <c r="F144" s="25" t="s">
        <v>16</v>
      </c>
      <c r="G144" s="53">
        <v>-7.9420255710438404E-4</v>
      </c>
      <c r="H144" s="50"/>
      <c r="I144" s="1"/>
    </row>
    <row r="145" spans="1:12" s="3" customFormat="1">
      <c r="A145" s="8">
        <v>3289</v>
      </c>
      <c r="B145" s="10">
        <v>8.8422193361677496E-4</v>
      </c>
      <c r="C145" s="24">
        <v>6.0559306173932695E-4</v>
      </c>
      <c r="D145" s="24">
        <v>8.0952226078016203E-7</v>
      </c>
      <c r="E145" s="60">
        <v>38212</v>
      </c>
      <c r="F145" s="41" t="s">
        <v>34</v>
      </c>
      <c r="G145" s="53">
        <v>0.14103735969263201</v>
      </c>
      <c r="H145" s="50" t="s">
        <v>33</v>
      </c>
      <c r="I145" s="1"/>
    </row>
    <row r="146" spans="1:12" s="3" customFormat="1">
      <c r="A146" s="8">
        <v>3289</v>
      </c>
      <c r="B146" s="10">
        <v>8.7407526771721004E-4</v>
      </c>
      <c r="C146" s="24">
        <v>6.0944145186222305E-4</v>
      </c>
      <c r="D146" s="24">
        <v>7.2664684368651199E-7</v>
      </c>
      <c r="E146" s="59">
        <v>37145</v>
      </c>
      <c r="F146" s="41" t="s">
        <v>27</v>
      </c>
      <c r="G146" s="53">
        <v>0.14066380698535899</v>
      </c>
      <c r="H146" s="50" t="s">
        <v>29</v>
      </c>
      <c r="I146" s="9"/>
      <c r="J146" s="83"/>
    </row>
    <row r="147" spans="1:12" s="3" customFormat="1">
      <c r="A147" s="8">
        <v>3290</v>
      </c>
      <c r="B147" s="24">
        <v>1.12027319212925E-3</v>
      </c>
      <c r="C147" s="10">
        <v>5.2243517977723002E-4</v>
      </c>
      <c r="D147" s="10">
        <v>2.35525225009968E-6</v>
      </c>
      <c r="E147" s="59">
        <v>36751</v>
      </c>
      <c r="F147" s="25" t="s">
        <v>16</v>
      </c>
      <c r="G147" s="53">
        <v>-1.1559446665390101E-3</v>
      </c>
      <c r="H147" s="50"/>
      <c r="I147" s="9"/>
      <c r="J147" s="82"/>
    </row>
    <row r="148" spans="1:12" s="3" customFormat="1">
      <c r="A148" s="8">
        <v>3291</v>
      </c>
      <c r="B148" s="10">
        <v>9.1203164906781197E-4</v>
      </c>
      <c r="C148" s="10">
        <v>5.9878169668867403E-4</v>
      </c>
      <c r="D148" s="10">
        <v>9.4131124786533598E-7</v>
      </c>
      <c r="E148" s="59">
        <v>41513</v>
      </c>
      <c r="F148" s="41" t="s">
        <v>45</v>
      </c>
      <c r="G148" s="53">
        <v>0.15193582626100999</v>
      </c>
      <c r="H148" s="50" t="s">
        <v>29</v>
      </c>
      <c r="I148" s="9"/>
      <c r="J148" s="82"/>
    </row>
    <row r="149" spans="1:12">
      <c r="A149" s="93">
        <v>3291</v>
      </c>
      <c r="B149" s="10">
        <v>9.7211181135203699E-4</v>
      </c>
      <c r="C149" s="10">
        <v>5.7688988904059898E-4</v>
      </c>
      <c r="D149" s="10">
        <v>1.3683287429064999E-6</v>
      </c>
      <c r="E149" s="59">
        <v>41131</v>
      </c>
      <c r="F149" s="11" t="s">
        <v>44</v>
      </c>
      <c r="G149" s="53">
        <v>-0.14447888166169801</v>
      </c>
      <c r="H149" s="50" t="s">
        <v>33</v>
      </c>
      <c r="J149" s="82"/>
    </row>
    <row r="150" spans="1:12" s="3" customFormat="1">
      <c r="A150" s="93">
        <v>3291</v>
      </c>
      <c r="B150" s="10">
        <f>0.000910858079452951</f>
        <v>9.1085807945295101E-4</v>
      </c>
      <c r="C150" s="10">
        <v>5.9924385462511802E-4</v>
      </c>
      <c r="D150" s="10">
        <v>9.2964647326094203E-7</v>
      </c>
      <c r="E150" s="59">
        <v>40206</v>
      </c>
      <c r="F150" s="86" t="s">
        <v>0</v>
      </c>
      <c r="G150" s="87">
        <v>0.155173759538272</v>
      </c>
      <c r="H150" s="50" t="s">
        <v>33</v>
      </c>
      <c r="I150" s="1"/>
      <c r="J150" s="84"/>
    </row>
    <row r="151" spans="1:12" s="3" customFormat="1">
      <c r="A151" s="8">
        <v>3291</v>
      </c>
      <c r="B151" s="24">
        <v>9.0986383346337201E-4</v>
      </c>
      <c r="C151" s="10">
        <v>5.99654465814525E-4</v>
      </c>
      <c r="D151" s="10">
        <v>9.2010373063815903E-7</v>
      </c>
      <c r="E151" s="59">
        <v>39667</v>
      </c>
      <c r="F151" s="41" t="s">
        <v>42</v>
      </c>
      <c r="G151" s="53">
        <v>0.15079404809878799</v>
      </c>
      <c r="H151" s="50" t="s">
        <v>33</v>
      </c>
      <c r="I151" s="1"/>
      <c r="J151" s="84"/>
    </row>
    <row r="152" spans="1:12" s="3" customFormat="1">
      <c r="A152" s="8">
        <v>3291</v>
      </c>
      <c r="B152" s="24">
        <v>9.0997501254724605E-4</v>
      </c>
      <c r="C152" s="10">
        <v>5.9956330424300796E-4</v>
      </c>
      <c r="D152" s="10">
        <v>9.2379144184609997E-7</v>
      </c>
      <c r="E152" s="59">
        <v>38944</v>
      </c>
      <c r="F152" s="41" t="s">
        <v>35</v>
      </c>
      <c r="G152" s="53">
        <v>0.15342247468447601</v>
      </c>
      <c r="H152" s="50" t="s">
        <v>33</v>
      </c>
      <c r="I152" s="1"/>
      <c r="J152" s="84"/>
    </row>
    <row r="153" spans="1:12" s="3" customFormat="1">
      <c r="A153" s="21">
        <v>3291</v>
      </c>
      <c r="B153" s="22">
        <v>1.05105256235637E-3</v>
      </c>
      <c r="C153" s="22">
        <v>5.4791376754059198E-4</v>
      </c>
      <c r="D153" s="22">
        <v>1.9410212936627099E-6</v>
      </c>
      <c r="E153" s="64">
        <v>36751</v>
      </c>
      <c r="F153" s="23" t="s">
        <v>16</v>
      </c>
      <c r="G153" s="56">
        <v>-5.9507331573804801E-4</v>
      </c>
      <c r="H153" s="50"/>
      <c r="I153" s="1"/>
      <c r="J153" s="84"/>
    </row>
    <row r="154" spans="1:12" s="3" customFormat="1">
      <c r="A154" s="93">
        <v>3292</v>
      </c>
      <c r="B154" s="10">
        <v>8.9410617332390404E-4</v>
      </c>
      <c r="C154" s="10">
        <v>6.0430802163557497E-4</v>
      </c>
      <c r="D154" s="10">
        <v>8.3233811815244799E-7</v>
      </c>
      <c r="E154" s="59">
        <v>40206</v>
      </c>
      <c r="F154" s="86" t="s">
        <v>0</v>
      </c>
      <c r="G154" s="87">
        <v>0.163360873631618</v>
      </c>
      <c r="H154" s="50" t="s">
        <v>33</v>
      </c>
      <c r="I154" s="1"/>
      <c r="J154" s="84"/>
    </row>
    <row r="155" spans="1:12" s="3" customFormat="1">
      <c r="A155" s="21">
        <v>3292</v>
      </c>
      <c r="B155" s="22">
        <v>8.925929050423E-4</v>
      </c>
      <c r="C155" s="22">
        <v>6.0497536614122997E-4</v>
      </c>
      <c r="D155" s="22">
        <v>8.1601683592312295E-7</v>
      </c>
      <c r="E155" s="59">
        <v>39667</v>
      </c>
      <c r="F155" s="41" t="s">
        <v>42</v>
      </c>
      <c r="G155" s="53">
        <v>0.16324247487975199</v>
      </c>
      <c r="H155" s="50" t="s">
        <v>33</v>
      </c>
      <c r="I155" s="27"/>
      <c r="J155" s="84"/>
    </row>
    <row r="156" spans="1:12" s="3" customFormat="1">
      <c r="A156" s="21">
        <v>3292</v>
      </c>
      <c r="B156" s="22">
        <v>8.9708261416304095E-4</v>
      </c>
      <c r="C156" s="22">
        <v>6.0323820174772603E-4</v>
      </c>
      <c r="D156" s="22">
        <v>8.5278200016796001E-7</v>
      </c>
      <c r="E156" s="59">
        <v>38793</v>
      </c>
      <c r="F156" s="41" t="s">
        <v>2</v>
      </c>
      <c r="G156" s="53">
        <v>0.16321792399315899</v>
      </c>
      <c r="H156" s="50" t="s">
        <v>7</v>
      </c>
      <c r="I156" s="27"/>
      <c r="J156" s="84"/>
    </row>
    <row r="157" spans="1:12" s="3" customFormat="1">
      <c r="A157" s="21">
        <v>3292</v>
      </c>
      <c r="B157" s="22">
        <v>9.73037012884095E-4</v>
      </c>
      <c r="C157" s="22">
        <v>5.7501796532654303E-4</v>
      </c>
      <c r="D157" s="22">
        <v>1.42383159983764E-6</v>
      </c>
      <c r="E157" s="59">
        <v>38400</v>
      </c>
      <c r="F157" s="41" t="s">
        <v>32</v>
      </c>
      <c r="G157" s="53">
        <v>-3.11792959178732E-2</v>
      </c>
      <c r="H157" s="50" t="s">
        <v>33</v>
      </c>
      <c r="I157" s="27"/>
      <c r="J157" s="84"/>
    </row>
    <row r="158" spans="1:12" s="3" customFormat="1">
      <c r="A158" s="8">
        <v>3292</v>
      </c>
      <c r="B158" s="39">
        <v>8.8691627054014103E-4</v>
      </c>
      <c r="C158" s="39">
        <v>6.0705069688725801E-4</v>
      </c>
      <c r="D158" s="39">
        <v>7.7619398454262695E-7</v>
      </c>
      <c r="E158" s="59">
        <v>36698</v>
      </c>
      <c r="F158" s="11" t="s">
        <v>17</v>
      </c>
      <c r="G158" s="53">
        <v>0.15825050542709099</v>
      </c>
      <c r="H158" s="50" t="s">
        <v>26</v>
      </c>
      <c r="I158" s="27"/>
      <c r="J158" s="84"/>
      <c r="K158" s="79"/>
      <c r="L158" s="79"/>
    </row>
    <row r="159" spans="1:12" s="3" customFormat="1">
      <c r="A159" s="8">
        <v>3294</v>
      </c>
      <c r="B159" s="10">
        <v>1.05986853861317E-3</v>
      </c>
      <c r="C159" s="10">
        <v>5.4515864411036304E-4</v>
      </c>
      <c r="D159" s="10">
        <v>1.9806868567607801E-6</v>
      </c>
      <c r="E159" s="59">
        <v>36751</v>
      </c>
      <c r="F159" s="11" t="s">
        <v>16</v>
      </c>
      <c r="G159" s="53">
        <v>6.0832096851548599E-4</v>
      </c>
      <c r="H159" s="50"/>
      <c r="I159" s="27"/>
      <c r="J159" s="84"/>
      <c r="K159" s="79"/>
      <c r="L159" s="79"/>
    </row>
    <row r="160" spans="1:12" s="3" customFormat="1">
      <c r="A160" s="8">
        <v>3295</v>
      </c>
      <c r="B160" s="10">
        <v>1.1007092234629301E-3</v>
      </c>
      <c r="C160" s="10">
        <v>5.2922823223252203E-4</v>
      </c>
      <c r="D160" s="10">
        <v>2.23100122688648E-6</v>
      </c>
      <c r="E160" s="59">
        <v>36751</v>
      </c>
      <c r="F160" s="1" t="s">
        <v>16</v>
      </c>
      <c r="G160" s="53">
        <v>-6.9479406912087405E-4</v>
      </c>
      <c r="H160" s="50"/>
      <c r="I160" s="27"/>
      <c r="J160" s="84"/>
      <c r="K160" s="79"/>
      <c r="L160" s="79"/>
    </row>
    <row r="161" spans="1:12" s="3" customFormat="1">
      <c r="A161" s="8">
        <v>3297</v>
      </c>
      <c r="B161" s="10">
        <v>1.0991825861492201E-3</v>
      </c>
      <c r="C161" s="10">
        <v>5.3208110828905698E-4</v>
      </c>
      <c r="D161" s="10">
        <v>2.2300829139340099E-6</v>
      </c>
      <c r="E161" s="59">
        <v>36751</v>
      </c>
      <c r="F161" s="11" t="s">
        <v>16</v>
      </c>
      <c r="G161" s="53">
        <v>1.3372165133116499E-3</v>
      </c>
      <c r="H161" s="50"/>
      <c r="I161" s="27"/>
      <c r="J161" s="84"/>
      <c r="K161" s="79"/>
      <c r="L161" s="79"/>
    </row>
    <row r="162" spans="1:12" s="3" customFormat="1">
      <c r="A162" s="13">
        <v>3298</v>
      </c>
      <c r="B162" s="14">
        <v>1.0427770934728199E-3</v>
      </c>
      <c r="C162" s="14">
        <v>5.4632477682334301E-4</v>
      </c>
      <c r="D162" s="14">
        <v>1.9190399044420098E-6</v>
      </c>
      <c r="E162" s="61">
        <v>36816</v>
      </c>
      <c r="F162" s="12" t="s">
        <v>12</v>
      </c>
      <c r="G162" s="54">
        <v>-3.0464845933238002E-3</v>
      </c>
      <c r="H162" s="50"/>
      <c r="I162" s="27"/>
      <c r="J162" s="80"/>
      <c r="K162" s="79"/>
      <c r="L162" s="79"/>
    </row>
    <row r="163" spans="1:12" s="3" customFormat="1">
      <c r="A163" s="21">
        <v>3298</v>
      </c>
      <c r="B163" s="22">
        <v>9.6604147575092005E-4</v>
      </c>
      <c r="C163" s="22">
        <v>5.7269309096074196E-4</v>
      </c>
      <c r="D163" s="22">
        <v>1.46195134917869E-6</v>
      </c>
      <c r="E163" s="64">
        <v>36798</v>
      </c>
      <c r="F163" s="23" t="s">
        <v>13</v>
      </c>
      <c r="G163" s="56"/>
      <c r="H163" s="50"/>
      <c r="I163" s="1"/>
      <c r="J163" s="84"/>
      <c r="K163" s="79"/>
      <c r="L163" s="79"/>
    </row>
    <row r="164" spans="1:12" s="3" customFormat="1">
      <c r="A164" s="13">
        <v>3298</v>
      </c>
      <c r="B164" s="14">
        <v>1.0752112503668E-3</v>
      </c>
      <c r="C164" s="14">
        <v>5.3497107492962704E-4</v>
      </c>
      <c r="D164" s="14">
        <v>2.12401282731966E-6</v>
      </c>
      <c r="E164" s="61">
        <v>36751</v>
      </c>
      <c r="F164" s="15" t="s">
        <v>16</v>
      </c>
      <c r="G164" s="54">
        <v>-5.8736316339746996E-4</v>
      </c>
      <c r="H164" s="50"/>
      <c r="I164" s="1"/>
      <c r="J164" s="79"/>
      <c r="K164" s="79"/>
      <c r="L164" s="79"/>
    </row>
    <row r="165" spans="1:12" s="3" customFormat="1">
      <c r="A165" s="8">
        <v>3299</v>
      </c>
      <c r="B165" s="10">
        <v>8.2036205707115405E-4</v>
      </c>
      <c r="C165" s="10">
        <v>6.2104216290695402E-4</v>
      </c>
      <c r="D165" s="10">
        <v>7.4656820269923304E-7</v>
      </c>
      <c r="E165" s="59">
        <v>36816</v>
      </c>
      <c r="F165" s="1" t="s">
        <v>12</v>
      </c>
      <c r="G165" s="53">
        <v>-6.0230058396424403E-3</v>
      </c>
      <c r="H165" s="50"/>
      <c r="I165" s="1"/>
      <c r="J165" s="79"/>
      <c r="K165" s="79"/>
      <c r="L165" s="79"/>
    </row>
    <row r="166" spans="1:12" s="3" customFormat="1">
      <c r="A166" s="8">
        <v>3299</v>
      </c>
      <c r="B166" s="10">
        <v>7.7371291025754899E-4</v>
      </c>
      <c r="C166" s="10">
        <v>6.3739308329864802E-4</v>
      </c>
      <c r="D166" s="10">
        <v>4.5384581789169501E-7</v>
      </c>
      <c r="E166" s="59">
        <v>36798</v>
      </c>
      <c r="F166" s="11" t="s">
        <v>13</v>
      </c>
      <c r="G166" s="53"/>
      <c r="H166" s="50"/>
      <c r="I166" s="1"/>
      <c r="J166" s="79"/>
      <c r="K166" s="79"/>
      <c r="L166" s="79"/>
    </row>
    <row r="167" spans="1:12" s="3" customFormat="1">
      <c r="A167" s="8">
        <v>3299</v>
      </c>
      <c r="B167" s="10">
        <v>1.2106711274782001E-3</v>
      </c>
      <c r="C167" s="10">
        <v>4.9015359446172302E-4</v>
      </c>
      <c r="D167" s="10">
        <v>2.9252225304028499E-6</v>
      </c>
      <c r="E167" s="59">
        <v>36755</v>
      </c>
      <c r="F167" s="11" t="s">
        <v>14</v>
      </c>
      <c r="G167" s="53" t="s">
        <v>8</v>
      </c>
      <c r="H167" s="50"/>
      <c r="I167" s="1"/>
      <c r="J167" s="79"/>
      <c r="K167" s="79"/>
      <c r="L167" s="79"/>
    </row>
    <row r="168" spans="1:12" s="3" customFormat="1">
      <c r="A168" s="8">
        <v>3300</v>
      </c>
      <c r="B168" s="10">
        <v>8.7994366867033698E-4</v>
      </c>
      <c r="C168" s="10">
        <v>6.0878976974107696E-4</v>
      </c>
      <c r="D168" s="10">
        <v>7.4048638680398896E-7</v>
      </c>
      <c r="E168" s="59">
        <v>37145</v>
      </c>
      <c r="F168" s="41" t="s">
        <v>27</v>
      </c>
      <c r="G168" s="53">
        <v>0.15601761998137001</v>
      </c>
      <c r="H168" s="50" t="s">
        <v>29</v>
      </c>
      <c r="I168" s="1"/>
      <c r="J168" s="79"/>
      <c r="K168" s="79"/>
      <c r="L168" s="79"/>
    </row>
    <row r="169" spans="1:12" s="3" customFormat="1">
      <c r="A169" s="8">
        <v>3312</v>
      </c>
      <c r="B169" s="10">
        <v>9.0567889478729996E-4</v>
      </c>
      <c r="C169" s="10">
        <v>6.0561106967021495E-4</v>
      </c>
      <c r="D169" s="10">
        <v>8.0879686146679397E-7</v>
      </c>
      <c r="E169" s="59">
        <v>41513</v>
      </c>
      <c r="F169" s="41" t="s">
        <v>45</v>
      </c>
      <c r="G169" s="53">
        <v>0.18892730167498001</v>
      </c>
      <c r="H169" s="50" t="s">
        <v>29</v>
      </c>
      <c r="I169" s="1"/>
      <c r="J169" s="79"/>
      <c r="K169" s="79"/>
      <c r="L169" s="79"/>
    </row>
    <row r="170" spans="1:12">
      <c r="A170" s="8">
        <v>3312</v>
      </c>
      <c r="B170" s="10">
        <v>1.0500642932134601E-3</v>
      </c>
      <c r="C170" s="10">
        <v>5.5202522704096701E-4</v>
      </c>
      <c r="D170" s="10">
        <v>1.8897119413381299E-6</v>
      </c>
      <c r="E170" s="59">
        <v>40733</v>
      </c>
      <c r="F170" s="11" t="s">
        <v>40</v>
      </c>
      <c r="G170" s="53">
        <v>-2.4146822649697701E-3</v>
      </c>
      <c r="H170" s="50" t="s">
        <v>43</v>
      </c>
      <c r="J170" s="79"/>
      <c r="K170" s="79"/>
    </row>
    <row r="171" spans="1:12" s="3" customFormat="1">
      <c r="A171" s="93">
        <v>3312</v>
      </c>
      <c r="B171" s="10">
        <v>9.0955407841828101E-4</v>
      </c>
      <c r="C171" s="10">
        <v>6.0423122983404697E-4</v>
      </c>
      <c r="D171" s="10">
        <v>8.3423236461445101E-7</v>
      </c>
      <c r="E171" s="59">
        <v>40206</v>
      </c>
      <c r="F171" s="86" t="s">
        <v>0</v>
      </c>
      <c r="G171" s="87">
        <v>0.185987812193773</v>
      </c>
      <c r="H171" s="50" t="s">
        <v>33</v>
      </c>
      <c r="I171" s="1"/>
      <c r="J171" s="79"/>
      <c r="K171" s="79"/>
      <c r="L171" s="79"/>
    </row>
    <row r="172" spans="1:12">
      <c r="A172" s="8">
        <v>3312</v>
      </c>
      <c r="B172" s="10">
        <v>9.0655289913018201E-4</v>
      </c>
      <c r="C172" s="10">
        <v>6.0535814026166303E-4</v>
      </c>
      <c r="D172" s="10">
        <v>8.1037097959879298E-7</v>
      </c>
      <c r="E172" s="59">
        <v>39667</v>
      </c>
      <c r="F172" s="41" t="s">
        <v>42</v>
      </c>
      <c r="G172" s="53">
        <v>0.18613422195332399</v>
      </c>
      <c r="H172" s="50" t="s">
        <v>33</v>
      </c>
      <c r="J172" s="79"/>
      <c r="K172" s="79"/>
    </row>
    <row r="173" spans="1:12" s="3" customFormat="1">
      <c r="A173" s="8">
        <v>3312</v>
      </c>
      <c r="B173" s="10">
        <v>9.04724599377799E-4</v>
      </c>
      <c r="C173" s="10">
        <v>6.0595475020993098E-4</v>
      </c>
      <c r="D173" s="10">
        <v>8.0028167018782499E-7</v>
      </c>
      <c r="E173" s="59">
        <v>38944</v>
      </c>
      <c r="F173" s="41" t="s">
        <v>35</v>
      </c>
      <c r="G173" s="53">
        <v>0.18555064188546999</v>
      </c>
      <c r="H173" s="50" t="s">
        <v>33</v>
      </c>
      <c r="I173" s="1"/>
      <c r="J173" s="79"/>
      <c r="K173" s="79"/>
      <c r="L173" s="79"/>
    </row>
    <row r="174" spans="1:12" s="3" customFormat="1">
      <c r="A174" s="8">
        <v>3312</v>
      </c>
      <c r="B174" s="10">
        <v>1.0021529941804299E-3</v>
      </c>
      <c r="C174" s="10">
        <v>5.6790771849865996E-4</v>
      </c>
      <c r="D174" s="10">
        <v>1.6314292783378301E-6</v>
      </c>
      <c r="E174" s="59">
        <v>36724</v>
      </c>
      <c r="F174" s="11" t="s">
        <v>9</v>
      </c>
      <c r="G174" s="53">
        <v>3.3164417006978902E-3</v>
      </c>
      <c r="H174" s="50"/>
      <c r="I174" s="1"/>
      <c r="J174" s="79"/>
      <c r="K174" s="79"/>
      <c r="L174" s="79"/>
    </row>
    <row r="175" spans="1:12">
      <c r="A175" s="13">
        <v>3313</v>
      </c>
      <c r="B175" s="14">
        <v>4.5964799042232698E-4</v>
      </c>
      <c r="C175" s="14">
        <v>5.9495667965651E-4</v>
      </c>
      <c r="D175" s="14">
        <v>7.1769744048851096E-7</v>
      </c>
      <c r="E175" s="61">
        <v>36695</v>
      </c>
      <c r="F175" s="15" t="s">
        <v>15</v>
      </c>
      <c r="G175" s="54">
        <v>0.16416233221372101</v>
      </c>
      <c r="H175" s="50" t="s">
        <v>7</v>
      </c>
      <c r="J175" s="79"/>
      <c r="K175" s="85"/>
    </row>
    <row r="176" spans="1:12" s="3" customFormat="1">
      <c r="A176" s="8">
        <v>3315</v>
      </c>
      <c r="B176" s="10">
        <v>1.5875069192845101E-3</v>
      </c>
      <c r="C176" s="10">
        <v>1.5560442240149599E-4</v>
      </c>
      <c r="D176" s="10">
        <v>7.4514640082842698E-6</v>
      </c>
      <c r="E176" s="59">
        <v>36695</v>
      </c>
      <c r="F176" s="11" t="s">
        <v>15</v>
      </c>
      <c r="G176" s="53">
        <v>-0.27659190692187102</v>
      </c>
      <c r="H176" s="50" t="s">
        <v>7</v>
      </c>
      <c r="I176" s="1"/>
      <c r="J176" s="79"/>
      <c r="K176" s="79"/>
      <c r="L176" s="79"/>
    </row>
    <row r="177" spans="1:12" s="3" customFormat="1">
      <c r="A177" s="8">
        <v>3316</v>
      </c>
      <c r="B177" s="10">
        <v>1.0316734572422201E-3</v>
      </c>
      <c r="C177" s="10">
        <v>5.5390512202218298E-4</v>
      </c>
      <c r="D177" s="10">
        <v>1.8480767743498301E-6</v>
      </c>
      <c r="E177" s="62">
        <v>38399</v>
      </c>
      <c r="F177" s="75" t="s">
        <v>36</v>
      </c>
      <c r="G177" s="76">
        <v>-5.5989619295981896E-4</v>
      </c>
      <c r="H177" s="77" t="s">
        <v>37</v>
      </c>
      <c r="I177" s="1"/>
      <c r="J177" s="79"/>
      <c r="K177" s="85"/>
      <c r="L177" s="79"/>
    </row>
    <row r="178" spans="1:12" s="3" customFormat="1">
      <c r="A178" s="13">
        <v>3316</v>
      </c>
      <c r="B178" s="14">
        <v>9.4439039144749001E-4</v>
      </c>
      <c r="C178" s="14">
        <v>5.8298434332203599E-4</v>
      </c>
      <c r="D178" s="14">
        <v>1.3706945162306399E-6</v>
      </c>
      <c r="E178" s="61">
        <v>36724</v>
      </c>
      <c r="F178" s="15" t="s">
        <v>9</v>
      </c>
      <c r="G178" s="54">
        <v>-4.2201257339789001E-3</v>
      </c>
      <c r="H178" s="50"/>
      <c r="I178" s="1"/>
      <c r="J178" s="79"/>
    </row>
    <row r="179" spans="1:12" s="3" customFormat="1">
      <c r="A179" s="8">
        <v>3317</v>
      </c>
      <c r="B179" s="10">
        <v>8.8905972041165805E-4</v>
      </c>
      <c r="C179" s="10">
        <v>6.0591107085042296E-4</v>
      </c>
      <c r="D179" s="10">
        <v>8.05612521034748E-7</v>
      </c>
      <c r="E179" s="59">
        <v>41513</v>
      </c>
      <c r="F179" s="41" t="s">
        <v>45</v>
      </c>
      <c r="G179" s="53">
        <v>0.18638230790865901</v>
      </c>
      <c r="H179" s="50" t="s">
        <v>29</v>
      </c>
      <c r="I179" s="1"/>
      <c r="J179" s="79"/>
    </row>
    <row r="180" spans="1:12" s="3" customFormat="1">
      <c r="A180" s="93">
        <v>3317</v>
      </c>
      <c r="B180" s="10">
        <v>9.5264826250117504E-4</v>
      </c>
      <c r="C180" s="10">
        <v>5.8271921679316197E-4</v>
      </c>
      <c r="D180" s="10">
        <v>1.2601971640425599E-6</v>
      </c>
      <c r="E180" s="59">
        <v>41131</v>
      </c>
      <c r="F180" s="11" t="s">
        <v>44</v>
      </c>
      <c r="G180" s="53">
        <v>-0.18169488268124201</v>
      </c>
      <c r="H180" s="50" t="s">
        <v>33</v>
      </c>
      <c r="I180" s="1"/>
      <c r="J180" s="79"/>
    </row>
    <row r="181" spans="1:12" s="3" customFormat="1">
      <c r="A181" s="8">
        <v>3317</v>
      </c>
      <c r="B181" s="10">
        <v>4.09636844655639E-4</v>
      </c>
      <c r="C181" s="10">
        <v>6.05389614117788E-4</v>
      </c>
      <c r="D181" s="10">
        <v>5.7154448293897398E-7</v>
      </c>
      <c r="E181" s="59">
        <v>36698</v>
      </c>
      <c r="F181" s="11" t="s">
        <v>17</v>
      </c>
      <c r="G181" s="53">
        <v>0.18701033925420099</v>
      </c>
      <c r="H181" s="50" t="s">
        <v>7</v>
      </c>
      <c r="I181" s="1"/>
      <c r="J181" s="79"/>
    </row>
    <row r="182" spans="1:12" s="3" customFormat="1">
      <c r="A182" s="13">
        <v>3318</v>
      </c>
      <c r="B182" s="14">
        <v>9.63579024856173E-4</v>
      </c>
      <c r="C182" s="14">
        <v>5.7546770339857005E-4</v>
      </c>
      <c r="D182" s="14">
        <v>1.45902203047182E-6</v>
      </c>
      <c r="E182" s="61">
        <v>36724</v>
      </c>
      <c r="F182" s="12" t="s">
        <v>9</v>
      </c>
      <c r="G182" s="54">
        <v>2.19407070937994E-3</v>
      </c>
      <c r="H182" s="50"/>
      <c r="I182" s="1"/>
      <c r="J182" s="79"/>
    </row>
    <row r="183" spans="1:12" s="3" customFormat="1">
      <c r="A183" s="8">
        <v>3321</v>
      </c>
      <c r="B183" s="10">
        <v>1.0623938355367401E-3</v>
      </c>
      <c r="C183" s="10">
        <v>5.6040145039947204E-4</v>
      </c>
      <c r="D183" s="10">
        <v>1.7219926615206899E-6</v>
      </c>
      <c r="E183" s="59">
        <v>36724</v>
      </c>
      <c r="F183" s="11" t="s">
        <v>9</v>
      </c>
      <c r="G183" s="53">
        <v>-3.62981169450127E-3</v>
      </c>
      <c r="H183" s="50"/>
      <c r="I183" s="1"/>
      <c r="J183" s="79"/>
    </row>
    <row r="184" spans="1:12" s="3" customFormat="1">
      <c r="A184" s="8">
        <v>3327</v>
      </c>
      <c r="B184" s="10">
        <v>9.1807998072059504E-4</v>
      </c>
      <c r="C184" s="10">
        <v>5.9586864428415602E-4</v>
      </c>
      <c r="D184" s="10">
        <v>9.8579762957186702E-7</v>
      </c>
      <c r="E184" s="59">
        <v>39667</v>
      </c>
      <c r="F184" s="41" t="s">
        <v>42</v>
      </c>
      <c r="G184" s="53">
        <v>0.13633348736598799</v>
      </c>
      <c r="H184" s="50" t="s">
        <v>33</v>
      </c>
      <c r="I184" s="1"/>
      <c r="J184" s="85"/>
    </row>
    <row r="185" spans="1:12" s="3" customFormat="1">
      <c r="A185" s="8">
        <v>3327</v>
      </c>
      <c r="B185" s="10">
        <v>9.1524705471296897E-4</v>
      </c>
      <c r="C185" s="10">
        <v>5.9691675613339403E-4</v>
      </c>
      <c r="D185" s="10">
        <v>9.6163125164894095E-7</v>
      </c>
      <c r="E185" s="59">
        <v>39274</v>
      </c>
      <c r="F185" s="41" t="s">
        <v>38</v>
      </c>
      <c r="G185" s="53">
        <v>0.13618</v>
      </c>
      <c r="H185" s="50" t="s">
        <v>39</v>
      </c>
      <c r="I185" s="1"/>
      <c r="J185" s="79"/>
    </row>
    <row r="186" spans="1:12" s="3" customFormat="1">
      <c r="A186" s="8">
        <v>3327</v>
      </c>
      <c r="B186" s="10">
        <v>9.15950644770568E-4</v>
      </c>
      <c r="C186" s="10">
        <v>5.9658466849926695E-4</v>
      </c>
      <c r="D186" s="10">
        <v>9.70573620600866E-7</v>
      </c>
      <c r="E186" s="59">
        <v>38793</v>
      </c>
      <c r="F186" s="41" t="s">
        <v>2</v>
      </c>
      <c r="G186" s="53">
        <v>0.13749201100921499</v>
      </c>
      <c r="H186" s="50" t="s">
        <v>7</v>
      </c>
      <c r="I186" s="1"/>
      <c r="J186" s="85"/>
    </row>
    <row r="187" spans="1:12" s="3" customFormat="1">
      <c r="A187" s="8">
        <v>3327</v>
      </c>
      <c r="B187" s="10">
        <v>9.796004687348391E-4</v>
      </c>
      <c r="C187" s="10">
        <v>5.7296459766563999E-4</v>
      </c>
      <c r="D187" s="10">
        <v>1.4482189332775201E-6</v>
      </c>
      <c r="E187" s="59">
        <v>38400</v>
      </c>
      <c r="F187" s="41" t="s">
        <v>32</v>
      </c>
      <c r="G187" s="53">
        <v>-2.8364592680254899E-2</v>
      </c>
      <c r="H187" s="50" t="s">
        <v>33</v>
      </c>
      <c r="I187" s="1"/>
      <c r="J187" s="79"/>
    </row>
    <row r="188" spans="1:12" s="3" customFormat="1">
      <c r="A188" s="8">
        <v>3327</v>
      </c>
      <c r="B188" s="10">
        <v>9.1218006645818299E-4</v>
      </c>
      <c r="C188" s="10">
        <v>5.9799342843118398E-4</v>
      </c>
      <c r="D188" s="10">
        <v>9.4325065202134805E-7</v>
      </c>
      <c r="E188" s="60">
        <v>38212</v>
      </c>
      <c r="F188" s="41" t="s">
        <v>34</v>
      </c>
      <c r="G188" s="53">
        <v>0.136818190548809</v>
      </c>
      <c r="H188" s="50" t="s">
        <v>33</v>
      </c>
      <c r="I188" s="1"/>
      <c r="J188" s="79"/>
    </row>
    <row r="189" spans="1:12" s="3" customFormat="1">
      <c r="A189" s="8">
        <v>3327</v>
      </c>
      <c r="B189" s="10">
        <v>1.01171383730263E-3</v>
      </c>
      <c r="C189" s="10">
        <v>5.6040145039947204E-4</v>
      </c>
      <c r="D189" s="10">
        <v>1.7219926615206899E-6</v>
      </c>
      <c r="E189" s="59">
        <v>36724</v>
      </c>
      <c r="F189" s="11" t="s">
        <v>9</v>
      </c>
      <c r="G189" s="53">
        <v>-1.64840819166923E-3</v>
      </c>
      <c r="H189" s="50"/>
      <c r="I189" s="1"/>
      <c r="J189" s="85"/>
    </row>
    <row r="190" spans="1:12" s="3" customFormat="1">
      <c r="A190" s="93">
        <v>3332</v>
      </c>
      <c r="B190" s="10">
        <v>9.6487775744402303E-4</v>
      </c>
      <c r="C190" s="10">
        <v>5.7866179936478298E-4</v>
      </c>
      <c r="D190" s="10">
        <v>1.34987348344751E-6</v>
      </c>
      <c r="E190" s="59">
        <v>41131</v>
      </c>
      <c r="F190" s="11" t="s">
        <v>44</v>
      </c>
      <c r="G190" s="53">
        <v>-0.128673663489664</v>
      </c>
      <c r="H190" s="50" t="s">
        <v>33</v>
      </c>
      <c r="I190" s="1"/>
      <c r="J190" s="79"/>
    </row>
    <row r="191" spans="1:12" s="3" customFormat="1">
      <c r="A191" s="8">
        <v>3332</v>
      </c>
      <c r="B191" s="10">
        <v>1.0403407620186199E-3</v>
      </c>
      <c r="C191" s="10">
        <v>5.5104086266135699E-4</v>
      </c>
      <c r="D191" s="10">
        <v>1.8915508680524799E-6</v>
      </c>
      <c r="E191" s="62">
        <v>38399</v>
      </c>
      <c r="F191" s="75" t="s">
        <v>36</v>
      </c>
      <c r="G191" s="76">
        <v>-5.8523767900808799E-4</v>
      </c>
      <c r="H191" s="77" t="s">
        <v>37</v>
      </c>
      <c r="I191" s="1"/>
      <c r="J191" s="79"/>
    </row>
    <row r="192" spans="1:12" s="3" customFormat="1">
      <c r="A192" s="8">
        <v>3332</v>
      </c>
      <c r="B192" s="10">
        <v>1.1169397818720601E-3</v>
      </c>
      <c r="C192" s="10">
        <v>5.2373572595186004E-4</v>
      </c>
      <c r="D192" s="10">
        <v>2.4023199034410701E-6</v>
      </c>
      <c r="E192" s="61">
        <v>36724</v>
      </c>
      <c r="F192" s="25" t="s">
        <v>9</v>
      </c>
      <c r="G192" s="53">
        <v>-6.1631711791383399E-3</v>
      </c>
      <c r="H192" s="50"/>
      <c r="I192" s="1"/>
    </row>
    <row r="193" spans="1:12" s="3" customFormat="1">
      <c r="A193" s="8">
        <v>3334</v>
      </c>
      <c r="B193" s="10">
        <v>1.03690372328137E-3</v>
      </c>
      <c r="C193" s="10">
        <v>5.5196674390850596E-4</v>
      </c>
      <c r="D193" s="10">
        <v>1.8583071496462701E-6</v>
      </c>
      <c r="E193" s="59">
        <v>40733</v>
      </c>
      <c r="F193" s="11" t="s">
        <v>40</v>
      </c>
      <c r="G193" s="53">
        <v>3.8346020589372599E-3</v>
      </c>
      <c r="H193" s="50" t="s">
        <v>43</v>
      </c>
      <c r="I193" s="9"/>
    </row>
    <row r="194" spans="1:12" s="3" customFormat="1">
      <c r="A194" s="8">
        <v>3334</v>
      </c>
      <c r="B194" s="10">
        <v>9.0589572260196599E-4</v>
      </c>
      <c r="C194" s="10">
        <v>6.0027994354468304E-4</v>
      </c>
      <c r="D194" s="10">
        <v>8.9230698781808597E-7</v>
      </c>
      <c r="E194" s="59">
        <v>39274</v>
      </c>
      <c r="F194" s="41" t="s">
        <v>38</v>
      </c>
      <c r="G194" s="53">
        <v>0.14906</v>
      </c>
      <c r="H194" s="50" t="s">
        <v>39</v>
      </c>
      <c r="I194" s="9"/>
    </row>
    <row r="195" spans="1:12" s="3" customFormat="1">
      <c r="A195" s="8">
        <v>3334</v>
      </c>
      <c r="B195" s="10">
        <v>9.7616343749252295E-4</v>
      </c>
      <c r="C195" s="10">
        <v>5.7411748560301805E-4</v>
      </c>
      <c r="D195" s="10">
        <v>1.4236891938730899E-6</v>
      </c>
      <c r="E195" s="59">
        <v>38400</v>
      </c>
      <c r="F195" s="41" t="s">
        <v>32</v>
      </c>
      <c r="G195" s="53">
        <v>-2.7794400568389201E-2</v>
      </c>
      <c r="H195" s="50" t="s">
        <v>33</v>
      </c>
      <c r="I195" s="1"/>
    </row>
    <row r="196" spans="1:12" s="3" customFormat="1">
      <c r="A196" s="8">
        <v>3334</v>
      </c>
      <c r="B196" s="39">
        <v>8.94733587301919E-4</v>
      </c>
      <c r="C196" s="39">
        <v>6.0452663909085899E-4</v>
      </c>
      <c r="D196" s="39">
        <v>8.0639759370309195E-7</v>
      </c>
      <c r="E196" s="61">
        <v>36698</v>
      </c>
      <c r="F196" s="25" t="s">
        <v>17</v>
      </c>
      <c r="G196" s="53">
        <v>0.152067527580314</v>
      </c>
      <c r="H196" s="50" t="s">
        <v>26</v>
      </c>
      <c r="I196" s="1"/>
    </row>
    <row r="197" spans="1:12" s="3" customFormat="1">
      <c r="A197" s="93">
        <v>4001</v>
      </c>
      <c r="B197" s="10">
        <v>9.6089064563456496E-4</v>
      </c>
      <c r="C197" s="10">
        <v>5.8326070983117501E-4</v>
      </c>
      <c r="D197" s="10">
        <v>1.2913227024775599E-6</v>
      </c>
      <c r="E197" s="59">
        <v>41131</v>
      </c>
      <c r="F197" s="11" t="s">
        <v>44</v>
      </c>
      <c r="G197" s="53">
        <v>-0.13163777189548401</v>
      </c>
      <c r="H197" s="50" t="s">
        <v>33</v>
      </c>
      <c r="I197" s="1"/>
    </row>
    <row r="198" spans="1:12" s="3" customFormat="1">
      <c r="A198" s="93">
        <v>4001</v>
      </c>
      <c r="B198" s="10">
        <v>8.9954597650979096E-4</v>
      </c>
      <c r="C198" s="10">
        <v>6.05847462151942E-4</v>
      </c>
      <c r="D198" s="10">
        <v>8.40430337299858E-7</v>
      </c>
      <c r="E198" s="59">
        <v>40206</v>
      </c>
      <c r="F198" s="86" t="s">
        <v>0</v>
      </c>
      <c r="G198" s="87">
        <v>0.146278382045509</v>
      </c>
      <c r="H198" s="50" t="s">
        <v>33</v>
      </c>
      <c r="I198" s="1"/>
      <c r="J198" s="79"/>
    </row>
    <row r="199" spans="1:12" s="3" customFormat="1">
      <c r="A199" s="8">
        <v>4001</v>
      </c>
      <c r="B199" s="39">
        <v>8.9703961667894996E-4</v>
      </c>
      <c r="C199" s="39">
        <v>6.0675839982692905E-4</v>
      </c>
      <c r="D199" s="39">
        <v>8.2279675772938502E-7</v>
      </c>
      <c r="E199" s="59">
        <v>39274</v>
      </c>
      <c r="F199" s="41" t="s">
        <v>38</v>
      </c>
      <c r="G199" s="53">
        <v>0.14763999999999999</v>
      </c>
      <c r="H199" s="50" t="s">
        <v>39</v>
      </c>
      <c r="I199" s="1"/>
      <c r="J199" s="79"/>
    </row>
    <row r="200" spans="1:12" s="3" customFormat="1">
      <c r="A200" s="8">
        <v>4001</v>
      </c>
      <c r="B200" s="39">
        <v>8.9745578839961905E-4</v>
      </c>
      <c r="C200" s="39">
        <v>6.0646914829893997E-4</v>
      </c>
      <c r="D200" s="39">
        <v>8.3295275512153498E-7</v>
      </c>
      <c r="E200" s="59">
        <v>38793</v>
      </c>
      <c r="F200" s="41" t="s">
        <v>2</v>
      </c>
      <c r="G200" s="53">
        <v>0.147716016207426</v>
      </c>
      <c r="H200" s="50" t="s">
        <v>7</v>
      </c>
      <c r="I200" s="1"/>
      <c r="J200" s="79"/>
      <c r="K200" s="80"/>
      <c r="L200" s="79"/>
    </row>
    <row r="201" spans="1:12" s="3" customFormat="1">
      <c r="A201" s="8">
        <v>4001</v>
      </c>
      <c r="B201" s="39">
        <v>9.6650898671307803E-4</v>
      </c>
      <c r="C201" s="39">
        <v>5.8080919942740802E-4</v>
      </c>
      <c r="D201" s="39">
        <v>1.35256912499657E-6</v>
      </c>
      <c r="E201" s="59">
        <v>38400</v>
      </c>
      <c r="F201" s="41" t="s">
        <v>32</v>
      </c>
      <c r="G201" s="53">
        <v>-3.2734880237463002E-2</v>
      </c>
      <c r="H201" s="50" t="s">
        <v>33</v>
      </c>
      <c r="I201" s="1"/>
      <c r="J201" s="80"/>
      <c r="K201" s="80"/>
      <c r="L201" s="79"/>
    </row>
    <row r="202" spans="1:12" s="3" customFormat="1">
      <c r="A202" s="8">
        <v>4001</v>
      </c>
      <c r="B202" s="39">
        <v>8.8792016617603804E-4</v>
      </c>
      <c r="C202" s="39">
        <v>6.1027008374489296E-4</v>
      </c>
      <c r="D202" s="39">
        <v>7.4654702684125098E-7</v>
      </c>
      <c r="E202" s="59">
        <v>37145</v>
      </c>
      <c r="F202" s="41" t="s">
        <v>27</v>
      </c>
      <c r="G202" s="53">
        <v>0.14402293989350301</v>
      </c>
      <c r="H202" s="50" t="s">
        <v>29</v>
      </c>
      <c r="I202" s="1"/>
      <c r="J202" s="80"/>
      <c r="K202" s="80"/>
      <c r="L202" s="79"/>
    </row>
    <row r="203" spans="1:12" s="3" customFormat="1">
      <c r="A203" s="8">
        <v>4022</v>
      </c>
      <c r="B203" s="28">
        <v>1.04855581606008E-3</v>
      </c>
      <c r="C203" s="24">
        <v>5.4857526322311099E-4</v>
      </c>
      <c r="D203" s="28">
        <v>1.9647916523259002E-6</v>
      </c>
      <c r="E203" s="65">
        <v>36724</v>
      </c>
      <c r="F203" s="25" t="s">
        <v>9</v>
      </c>
      <c r="G203" s="53">
        <v>8.5526440403871395E-4</v>
      </c>
      <c r="H203" s="50"/>
      <c r="I203" s="1"/>
      <c r="J203" s="80"/>
      <c r="K203" s="80"/>
      <c r="L203" s="79"/>
    </row>
    <row r="204" spans="1:12" s="3" customFormat="1">
      <c r="A204" s="8">
        <v>4023</v>
      </c>
      <c r="B204" s="10">
        <v>1.2288269199775101E-3</v>
      </c>
      <c r="C204" s="10">
        <v>4.8437646449734398E-4</v>
      </c>
      <c r="D204" s="10">
        <v>3.0132856539474999E-6</v>
      </c>
      <c r="E204" s="59">
        <v>36724</v>
      </c>
      <c r="F204" s="25" t="s">
        <v>9</v>
      </c>
      <c r="G204" s="53">
        <v>1.1360896951515501E-3</v>
      </c>
      <c r="H204" s="50"/>
      <c r="I204" s="1"/>
      <c r="K204" s="80"/>
      <c r="L204" s="79"/>
    </row>
    <row r="205" spans="1:12" s="3" customFormat="1">
      <c r="A205" s="29">
        <v>4036</v>
      </c>
      <c r="B205" s="10">
        <v>1.14750890881425E-3</v>
      </c>
      <c r="C205" s="10">
        <v>5.1281163033306098E-4</v>
      </c>
      <c r="D205" s="10">
        <v>2.5549907760769399E-6</v>
      </c>
      <c r="E205" s="59">
        <v>36724</v>
      </c>
      <c r="F205" s="25" t="s">
        <v>9</v>
      </c>
      <c r="G205" s="53">
        <v>6.8938216555447496E-4</v>
      </c>
      <c r="H205" s="50"/>
      <c r="I205" s="1"/>
      <c r="K205" s="80"/>
      <c r="L205" s="85"/>
    </row>
    <row r="206" spans="1:12" s="3" customFormat="1">
      <c r="A206" s="8">
        <v>4090</v>
      </c>
      <c r="B206" s="10">
        <v>8.8546026523941802E-4</v>
      </c>
      <c r="C206" s="10">
        <v>6.0150295739792501E-4</v>
      </c>
      <c r="D206" s="10">
        <v>1.0163302596271901E-6</v>
      </c>
      <c r="E206" s="59">
        <v>36816</v>
      </c>
      <c r="F206" s="11" t="s">
        <v>12</v>
      </c>
      <c r="G206" s="53">
        <v>-2.26936309201764E-3</v>
      </c>
      <c r="H206" s="50"/>
      <c r="I206" s="1"/>
      <c r="K206" s="80"/>
      <c r="L206" s="79"/>
    </row>
    <row r="207" spans="1:12" s="3" customFormat="1">
      <c r="A207" s="8">
        <v>4090</v>
      </c>
      <c r="B207" s="10">
        <v>7.3757824640957603E-4</v>
      </c>
      <c r="C207" s="10">
        <v>6.5195537495736503E-4</v>
      </c>
      <c r="D207" s="10">
        <v>1.5021192920085301E-7</v>
      </c>
      <c r="E207" s="59">
        <v>36798</v>
      </c>
      <c r="F207" s="11" t="s">
        <v>13</v>
      </c>
      <c r="G207" s="53"/>
      <c r="H207" s="50"/>
      <c r="I207" s="1"/>
      <c r="K207" s="80"/>
      <c r="L207" s="103"/>
    </row>
    <row r="208" spans="1:12" s="3" customFormat="1">
      <c r="A208" s="8">
        <v>4090</v>
      </c>
      <c r="B208" s="10">
        <v>1.2307185168202099E-3</v>
      </c>
      <c r="C208" s="10">
        <v>4.8440371047245903E-4</v>
      </c>
      <c r="D208" s="10">
        <v>3.0118406558399999E-6</v>
      </c>
      <c r="E208" s="59">
        <v>36749</v>
      </c>
      <c r="F208" s="1" t="s">
        <v>18</v>
      </c>
      <c r="G208" s="53">
        <v>2.5877764626533999E-3</v>
      </c>
      <c r="H208" s="50"/>
      <c r="I208" s="1"/>
      <c r="K208" s="80"/>
      <c r="L208" s="104"/>
    </row>
    <row r="209" spans="1:16" s="3" customFormat="1">
      <c r="A209" s="8">
        <v>4091</v>
      </c>
      <c r="B209" s="10">
        <v>8.2160096675292003E-4</v>
      </c>
      <c r="C209" s="10">
        <v>6.2365702130336099E-4</v>
      </c>
      <c r="D209" s="10">
        <v>6.5037548811241596E-7</v>
      </c>
      <c r="E209" s="59">
        <v>36816</v>
      </c>
      <c r="F209" s="1" t="s">
        <v>12</v>
      </c>
      <c r="G209" s="53">
        <v>2.5007521275828299E-3</v>
      </c>
      <c r="H209" s="50"/>
      <c r="I209" s="1"/>
      <c r="J209" s="80"/>
      <c r="K209" s="80"/>
      <c r="L209" s="104"/>
    </row>
    <row r="210" spans="1:16" s="3" customFormat="1">
      <c r="A210" s="21">
        <v>4091</v>
      </c>
      <c r="B210" s="22">
        <v>8.0163923009342797E-4</v>
      </c>
      <c r="C210" s="22">
        <v>6.2940885723651498E-4</v>
      </c>
      <c r="D210" s="22">
        <v>5.9131304782896696E-7</v>
      </c>
      <c r="E210" s="64">
        <v>36798</v>
      </c>
      <c r="F210" s="23" t="s">
        <v>13</v>
      </c>
      <c r="G210" s="56"/>
      <c r="H210" s="50"/>
      <c r="I210" s="1"/>
      <c r="J210" s="80"/>
      <c r="K210" s="80"/>
      <c r="L210" s="103"/>
    </row>
    <row r="211" spans="1:16" s="3" customFormat="1">
      <c r="A211" s="13">
        <v>4091</v>
      </c>
      <c r="B211" s="14">
        <v>1.12620292085736E-3</v>
      </c>
      <c r="C211" s="14">
        <v>5.1958650116356697E-4</v>
      </c>
      <c r="D211" s="14">
        <v>2.44875611882467E-6</v>
      </c>
      <c r="E211" s="61">
        <v>36749</v>
      </c>
      <c r="F211" s="16" t="s">
        <v>18</v>
      </c>
      <c r="G211" s="54">
        <v>6.0229610131664496E-4</v>
      </c>
      <c r="H211" s="50"/>
      <c r="I211" s="1"/>
      <c r="J211" s="80"/>
      <c r="K211" s="80"/>
      <c r="L211" s="103"/>
    </row>
    <row r="212" spans="1:16" s="3" customFormat="1">
      <c r="A212" s="21">
        <v>4092</v>
      </c>
      <c r="B212" s="22">
        <v>1.1805873581881301E-3</v>
      </c>
      <c r="C212" s="22">
        <v>4.9980197493821005E-4</v>
      </c>
      <c r="D212" s="22">
        <v>2.7895769248454902E-6</v>
      </c>
      <c r="E212" s="64">
        <v>36816</v>
      </c>
      <c r="F212" s="23" t="s">
        <v>12</v>
      </c>
      <c r="G212" s="56">
        <v>-4.6264357833134496E-3</v>
      </c>
      <c r="H212" s="50"/>
      <c r="I212" s="1"/>
      <c r="J212" s="80"/>
      <c r="K212" s="80"/>
      <c r="L212" s="103"/>
    </row>
    <row r="213" spans="1:16" s="3" customFormat="1">
      <c r="A213" s="13">
        <v>4092</v>
      </c>
      <c r="B213" s="14">
        <v>9.0616594064665097E-4</v>
      </c>
      <c r="C213" s="14">
        <v>5.9378481245946795E-4</v>
      </c>
      <c r="D213" s="14">
        <v>1.1608225573018101E-6</v>
      </c>
      <c r="E213" s="61">
        <v>36798</v>
      </c>
      <c r="F213" s="16" t="s">
        <v>13</v>
      </c>
      <c r="G213" s="54"/>
      <c r="H213" s="50"/>
      <c r="I213" s="1"/>
      <c r="J213" s="80"/>
      <c r="K213" s="80"/>
      <c r="L213" s="103"/>
    </row>
    <row r="214" spans="1:16" s="3" customFormat="1">
      <c r="A214" s="13">
        <v>4092</v>
      </c>
      <c r="B214" s="14">
        <v>1.12915769617439E-3</v>
      </c>
      <c r="C214" s="14">
        <v>5.1845222130984304E-4</v>
      </c>
      <c r="D214" s="14">
        <v>2.4300053566566398E-6</v>
      </c>
      <c r="E214" s="61">
        <v>36749</v>
      </c>
      <c r="F214" s="15" t="s">
        <v>18</v>
      </c>
      <c r="G214" s="54">
        <v>4.6826650071119002E-4</v>
      </c>
      <c r="H214" s="50"/>
      <c r="I214" s="1"/>
      <c r="J214" s="80"/>
      <c r="K214" s="80"/>
      <c r="L214" s="103"/>
      <c r="M214" s="79"/>
      <c r="P214" s="79"/>
    </row>
    <row r="215" spans="1:16" s="3" customFormat="1">
      <c r="A215" s="21">
        <v>4093</v>
      </c>
      <c r="B215" s="22">
        <v>1.12210948105846E-3</v>
      </c>
      <c r="C215" s="22">
        <v>5.1896848388642298E-4</v>
      </c>
      <c r="D215" s="22">
        <v>2.54862548354753E-6</v>
      </c>
      <c r="E215" s="64">
        <v>36816</v>
      </c>
      <c r="F215" s="23" t="s">
        <v>12</v>
      </c>
      <c r="G215" s="56">
        <v>-3.5981886506533099E-3</v>
      </c>
      <c r="H215" s="50"/>
      <c r="I215" s="1"/>
      <c r="J215" s="80"/>
      <c r="K215" s="80"/>
      <c r="L215" s="103"/>
      <c r="M215" s="79"/>
      <c r="P215" s="79"/>
    </row>
    <row r="216" spans="1:16" s="3" customFormat="1">
      <c r="A216" s="8">
        <v>4093</v>
      </c>
      <c r="B216" s="10">
        <v>7.0584361586355595E-4</v>
      </c>
      <c r="C216" s="10">
        <v>6.6390575446835997E-4</v>
      </c>
      <c r="D216" s="10">
        <v>4.6660935402090999E-8</v>
      </c>
      <c r="E216" s="59">
        <v>36798</v>
      </c>
      <c r="F216" s="11" t="s">
        <v>13</v>
      </c>
      <c r="G216" s="53"/>
      <c r="H216" s="50"/>
      <c r="I216" s="1"/>
      <c r="J216" s="80"/>
      <c r="K216" s="80"/>
      <c r="L216" s="103"/>
      <c r="M216" s="79"/>
      <c r="P216" s="79"/>
    </row>
    <row r="217" spans="1:16" s="3" customFormat="1">
      <c r="A217" s="8">
        <v>4093</v>
      </c>
      <c r="B217" s="10">
        <v>1.15770133967998E-3</v>
      </c>
      <c r="C217" s="10">
        <v>5.0959474116812995E-4</v>
      </c>
      <c r="D217" s="10">
        <v>2.6161432269392E-6</v>
      </c>
      <c r="E217" s="59">
        <v>36749</v>
      </c>
      <c r="F217" s="1" t="s">
        <v>18</v>
      </c>
      <c r="G217" s="53">
        <v>8.8900608263653403E-4</v>
      </c>
      <c r="H217" s="50"/>
      <c r="I217" s="1"/>
      <c r="J217" s="80"/>
      <c r="K217" s="80"/>
      <c r="L217" s="103"/>
      <c r="M217" s="79"/>
      <c r="N217" s="79"/>
      <c r="O217" s="79"/>
      <c r="P217" s="79"/>
    </row>
    <row r="218" spans="1:16" s="3" customFormat="1">
      <c r="A218" s="8">
        <v>4094</v>
      </c>
      <c r="B218" s="10">
        <v>8.8713244750544698E-4</v>
      </c>
      <c r="C218" s="10">
        <v>6.0400251297482003E-4</v>
      </c>
      <c r="D218" s="10">
        <v>8.3931285677933204E-7</v>
      </c>
      <c r="E218" s="59">
        <v>41513</v>
      </c>
      <c r="F218" s="41" t="s">
        <v>45</v>
      </c>
      <c r="G218" s="53">
        <v>0.16799744743382</v>
      </c>
      <c r="H218" s="50" t="s">
        <v>33</v>
      </c>
      <c r="I218" s="1"/>
      <c r="J218" s="80"/>
      <c r="K218" s="80"/>
      <c r="L218" s="104"/>
      <c r="M218" s="79"/>
      <c r="N218" s="79"/>
      <c r="O218" s="79"/>
      <c r="P218" s="79"/>
    </row>
    <row r="219" spans="1:16" s="3" customFormat="1">
      <c r="A219" s="8">
        <v>4094</v>
      </c>
      <c r="B219" s="10">
        <v>1.0272576825299899E-3</v>
      </c>
      <c r="C219" s="10">
        <v>5.5254313239082103E-4</v>
      </c>
      <c r="D219" s="10">
        <v>1.85632276537964E-6</v>
      </c>
      <c r="E219" s="59">
        <v>40733</v>
      </c>
      <c r="F219" s="11" t="s">
        <v>40</v>
      </c>
      <c r="G219" s="53">
        <v>4.8455282655126596E-3</v>
      </c>
      <c r="H219" s="50" t="s">
        <v>43</v>
      </c>
      <c r="I219" s="1"/>
      <c r="J219" s="80"/>
      <c r="K219" s="96"/>
      <c r="L219" s="96"/>
      <c r="M219" s="96"/>
      <c r="N219" s="96"/>
      <c r="O219" s="96"/>
      <c r="P219" s="96"/>
    </row>
    <row r="220" spans="1:16" s="3" customFormat="1">
      <c r="A220" s="8">
        <v>4094</v>
      </c>
      <c r="B220" s="10">
        <v>1.0794939313221901E-3</v>
      </c>
      <c r="C220" s="10">
        <v>5.3490243964769105E-4</v>
      </c>
      <c r="D220" s="10">
        <v>2.1528777778240402E-6</v>
      </c>
      <c r="E220" s="62">
        <v>38399</v>
      </c>
      <c r="F220" s="75" t="s">
        <v>36</v>
      </c>
      <c r="G220" s="76">
        <v>1.2684236519451299E-3</v>
      </c>
      <c r="H220" s="77" t="s">
        <v>37</v>
      </c>
      <c r="I220" s="1"/>
      <c r="J220" s="80"/>
      <c r="K220" s="106"/>
      <c r="L220" s="107"/>
      <c r="M220" s="107"/>
      <c r="N220" s="107"/>
      <c r="O220" s="107"/>
      <c r="P220" s="107"/>
    </row>
    <row r="221" spans="1:16" s="3" customFormat="1">
      <c r="A221" s="21">
        <v>4094</v>
      </c>
      <c r="B221" s="22">
        <v>1.01994997438868E-3</v>
      </c>
      <c r="C221" s="22">
        <v>5.5530807439971698E-4</v>
      </c>
      <c r="D221" s="22">
        <v>1.7988332781903099E-6</v>
      </c>
      <c r="E221" s="64">
        <v>37848</v>
      </c>
      <c r="F221" s="49" t="s">
        <v>30</v>
      </c>
      <c r="G221" s="56">
        <v>1.39202922000425E-3</v>
      </c>
      <c r="H221" s="50"/>
      <c r="I221" s="1"/>
      <c r="J221" s="80"/>
      <c r="K221" s="106"/>
      <c r="L221" s="107"/>
      <c r="M221" s="107"/>
      <c r="N221" s="107"/>
      <c r="O221" s="107"/>
      <c r="P221" s="107"/>
    </row>
    <row r="222" spans="1:16" s="3" customFormat="1">
      <c r="A222" s="21">
        <v>4094</v>
      </c>
      <c r="B222" s="22">
        <v>7.3524466830988901E-4</v>
      </c>
      <c r="C222" s="22">
        <v>6.5277738089887505E-4</v>
      </c>
      <c r="D222" s="22">
        <v>1.05568841723573E-7</v>
      </c>
      <c r="E222" s="64">
        <v>36816</v>
      </c>
      <c r="F222" s="23" t="s">
        <v>12</v>
      </c>
      <c r="G222" s="56">
        <v>4.9189327788443597E-3</v>
      </c>
      <c r="H222" s="50"/>
      <c r="I222" s="1"/>
      <c r="J222" s="80"/>
      <c r="K222" s="106"/>
      <c r="L222" s="107"/>
      <c r="M222" s="107"/>
      <c r="N222" s="107"/>
      <c r="O222" s="107"/>
      <c r="P222" s="107"/>
    </row>
    <row r="223" spans="1:16" s="3" customFormat="1">
      <c r="A223" s="8">
        <v>4094</v>
      </c>
      <c r="B223" s="10">
        <v>7.6711563268975905E-4</v>
      </c>
      <c r="C223" s="10">
        <v>6.4133108471298899E-4</v>
      </c>
      <c r="D223" s="10">
        <v>3.2647650242496698E-7</v>
      </c>
      <c r="E223" s="59">
        <v>36798</v>
      </c>
      <c r="F223" s="11" t="s">
        <v>13</v>
      </c>
      <c r="G223" s="53"/>
      <c r="H223" s="50"/>
      <c r="I223" s="1"/>
      <c r="J223" s="80"/>
      <c r="K223" s="106"/>
      <c r="L223" s="107"/>
      <c r="M223" s="107"/>
      <c r="N223" s="107"/>
      <c r="O223" s="107"/>
      <c r="P223" s="107"/>
    </row>
    <row r="224" spans="1:16" s="3" customFormat="1">
      <c r="A224" s="13">
        <v>4094</v>
      </c>
      <c r="B224" s="14">
        <v>1.1114295595732501E-3</v>
      </c>
      <c r="C224" s="14">
        <v>5.2436054813237095E-4</v>
      </c>
      <c r="D224" s="14">
        <v>2.3226142667122699E-6</v>
      </c>
      <c r="E224" s="61">
        <v>36749</v>
      </c>
      <c r="F224" s="12" t="s">
        <v>18</v>
      </c>
      <c r="G224" s="54">
        <v>-1.9014377829086699E-3</v>
      </c>
      <c r="H224" s="50"/>
      <c r="I224" s="1"/>
      <c r="J224" s="80"/>
      <c r="K224" s="106"/>
      <c r="L224" s="107"/>
      <c r="M224" s="107"/>
      <c r="N224" s="107"/>
      <c r="O224" s="107"/>
      <c r="P224" s="107"/>
    </row>
    <row r="225" spans="1:16" s="3" customFormat="1">
      <c r="A225" s="93">
        <v>4095</v>
      </c>
      <c r="B225" s="10">
        <v>9.49699091107063E-4</v>
      </c>
      <c r="C225" s="10">
        <v>5.8089295681763701E-4</v>
      </c>
      <c r="D225" s="10">
        <v>1.3052591271616199E-6</v>
      </c>
      <c r="E225" s="59">
        <v>41131</v>
      </c>
      <c r="F225" s="11" t="s">
        <v>44</v>
      </c>
      <c r="G225" s="53">
        <v>-0.14946537673601801</v>
      </c>
      <c r="H225" s="50" t="s">
        <v>33</v>
      </c>
      <c r="I225" s="1"/>
      <c r="J225" s="80"/>
      <c r="K225" s="106"/>
      <c r="L225" s="107"/>
      <c r="M225" s="107"/>
      <c r="N225" s="107"/>
      <c r="O225" s="107"/>
      <c r="P225" s="107"/>
    </row>
    <row r="226" spans="1:16" s="3" customFormat="1">
      <c r="A226" s="68">
        <v>4095</v>
      </c>
      <c r="B226" s="69">
        <v>-4.8222208538500301E-3</v>
      </c>
      <c r="C226" s="69">
        <v>2.5517842038842299E-3</v>
      </c>
      <c r="D226" s="69">
        <v>-3.2718687882846903E-5</v>
      </c>
      <c r="E226" s="70">
        <v>38399</v>
      </c>
      <c r="F226" s="71" t="s">
        <v>36</v>
      </c>
      <c r="G226" s="72">
        <v>-0.19269149425484999</v>
      </c>
      <c r="H226" s="73" t="s">
        <v>37</v>
      </c>
      <c r="I226" s="1"/>
      <c r="J226" s="80"/>
      <c r="K226" s="106"/>
      <c r="L226" s="107"/>
      <c r="M226" s="107"/>
      <c r="N226" s="107"/>
      <c r="O226" s="107"/>
      <c r="P226" s="107"/>
    </row>
    <row r="227" spans="1:16" s="3" customFormat="1">
      <c r="A227" s="21">
        <v>4095</v>
      </c>
      <c r="B227" s="22">
        <v>1.05849795767564E-3</v>
      </c>
      <c r="C227" s="22">
        <v>5.4188620854977705E-4</v>
      </c>
      <c r="D227" s="22">
        <v>2.0462799393531602E-6</v>
      </c>
      <c r="E227" s="64">
        <v>37848</v>
      </c>
      <c r="F227" s="49" t="s">
        <v>30</v>
      </c>
      <c r="G227" s="56">
        <v>-2.4191313577475201E-3</v>
      </c>
      <c r="H227" s="50"/>
      <c r="I227" s="1"/>
      <c r="J227" s="80"/>
      <c r="K227" s="106"/>
      <c r="L227" s="107"/>
      <c r="M227" s="107"/>
      <c r="N227" s="107"/>
      <c r="O227" s="107"/>
      <c r="P227" s="107"/>
    </row>
    <row r="228" spans="1:16" s="3" customFormat="1">
      <c r="A228" s="8">
        <v>4095</v>
      </c>
      <c r="B228" s="10">
        <v>1.3269281167851601E-3</v>
      </c>
      <c r="C228" s="10">
        <v>4.5120468229761302E-4</v>
      </c>
      <c r="D228" s="10">
        <v>3.5778209903140002E-6</v>
      </c>
      <c r="E228" s="59">
        <v>36816</v>
      </c>
      <c r="F228" s="11" t="s">
        <v>12</v>
      </c>
      <c r="G228" s="53">
        <v>-6.4532564049499799E-3</v>
      </c>
      <c r="H228" s="50"/>
      <c r="I228" s="1"/>
      <c r="J228" s="80"/>
      <c r="K228" s="106"/>
      <c r="L228" s="107"/>
      <c r="M228" s="107"/>
      <c r="N228" s="107"/>
      <c r="O228" s="107"/>
      <c r="P228" s="107"/>
    </row>
    <row r="229" spans="1:16" s="3" customFormat="1">
      <c r="A229" s="8">
        <v>4095</v>
      </c>
      <c r="B229" s="10">
        <v>1.1638492804928199E-3</v>
      </c>
      <c r="C229" s="10">
        <v>5.0575281455657805E-4</v>
      </c>
      <c r="D229" s="10">
        <v>2.6755164187678499E-6</v>
      </c>
      <c r="E229" s="59">
        <v>36749</v>
      </c>
      <c r="F229" s="1" t="s">
        <v>18</v>
      </c>
      <c r="G229" s="53">
        <v>-5.9714629893825599E-4</v>
      </c>
      <c r="H229" s="50"/>
      <c r="I229" s="1"/>
      <c r="J229" s="80"/>
      <c r="K229" s="106"/>
      <c r="L229" s="107"/>
      <c r="M229" s="107"/>
      <c r="N229" s="107"/>
      <c r="O229" s="107"/>
      <c r="P229" s="107"/>
    </row>
    <row r="230" spans="1:16">
      <c r="A230" s="8">
        <v>4096</v>
      </c>
      <c r="B230" s="10">
        <v>8.8078579921248301E-4</v>
      </c>
      <c r="C230" s="10">
        <v>6.0852324372082198E-4</v>
      </c>
      <c r="D230" s="10">
        <v>7.7231342414601195E-7</v>
      </c>
      <c r="E230" s="59">
        <v>41513</v>
      </c>
      <c r="F230" s="41" t="s">
        <v>45</v>
      </c>
      <c r="G230" s="53">
        <v>0.15602218907632401</v>
      </c>
      <c r="H230" s="50" t="s">
        <v>33</v>
      </c>
      <c r="K230" s="106"/>
      <c r="L230" s="107"/>
      <c r="M230" s="107"/>
      <c r="N230" s="107"/>
      <c r="O230" s="107"/>
      <c r="P230" s="107"/>
    </row>
    <row r="231" spans="1:16" s="3" customFormat="1">
      <c r="A231" s="8">
        <v>4096</v>
      </c>
      <c r="B231" s="10">
        <v>1.0137644758590101E-3</v>
      </c>
      <c r="C231" s="10">
        <v>5.5959013050158805E-4</v>
      </c>
      <c r="D231" s="10">
        <v>1.7460996559321699E-6</v>
      </c>
      <c r="E231" s="59">
        <v>40733</v>
      </c>
      <c r="F231" s="11" t="s">
        <v>40</v>
      </c>
      <c r="G231" s="53">
        <v>3.4516923323124598E-3</v>
      </c>
      <c r="H231" s="50" t="s">
        <v>43</v>
      </c>
      <c r="I231" s="1"/>
      <c r="J231" s="80"/>
      <c r="K231" s="106"/>
      <c r="L231" s="107"/>
      <c r="M231" s="107"/>
      <c r="N231" s="107"/>
      <c r="O231" s="107"/>
      <c r="P231" s="107"/>
    </row>
    <row r="232" spans="1:16" s="3" customFormat="1">
      <c r="A232" s="8">
        <v>4096</v>
      </c>
      <c r="B232" s="10">
        <v>1.0671490294334E-3</v>
      </c>
      <c r="C232" s="10">
        <v>5.4107942845032001E-4</v>
      </c>
      <c r="D232" s="10">
        <v>2.0735022138755898E-6</v>
      </c>
      <c r="E232" s="62">
        <v>38399</v>
      </c>
      <c r="F232" s="75" t="s">
        <v>36</v>
      </c>
      <c r="G232" s="76">
        <v>-1.06973797512122E-3</v>
      </c>
      <c r="H232" s="77" t="s">
        <v>37</v>
      </c>
      <c r="I232" s="1"/>
      <c r="J232" s="80"/>
      <c r="K232" s="106"/>
      <c r="L232" s="107"/>
      <c r="M232" s="107"/>
      <c r="N232" s="107"/>
      <c r="O232" s="107"/>
      <c r="P232" s="107"/>
    </row>
    <row r="233" spans="1:16" s="3" customFormat="1">
      <c r="A233" s="8">
        <v>4096</v>
      </c>
      <c r="B233" s="10">
        <v>1.24755883943859E-3</v>
      </c>
      <c r="C233" s="10">
        <v>4.8015274614440399E-4</v>
      </c>
      <c r="D233" s="10">
        <v>3.1037412343148899E-6</v>
      </c>
      <c r="E233" s="64">
        <v>37848</v>
      </c>
      <c r="F233" s="49" t="s">
        <v>30</v>
      </c>
      <c r="G233" s="53">
        <v>4.9209577830184904E-3</v>
      </c>
      <c r="H233" s="50"/>
      <c r="I233" s="1"/>
      <c r="J233" s="80"/>
      <c r="K233" s="106"/>
      <c r="L233" s="107"/>
      <c r="M233" s="107"/>
      <c r="N233" s="107"/>
      <c r="O233" s="107"/>
      <c r="P233" s="107"/>
    </row>
    <row r="234" spans="1:16" s="3" customFormat="1">
      <c r="A234" s="21">
        <v>4096</v>
      </c>
      <c r="B234" s="22">
        <v>1.18017843339767E-3</v>
      </c>
      <c r="C234" s="22">
        <v>5.0391085733858098E-4</v>
      </c>
      <c r="D234" s="22">
        <v>2.6665876031409002E-6</v>
      </c>
      <c r="E234" s="64">
        <v>36816</v>
      </c>
      <c r="F234" s="23" t="s">
        <v>12</v>
      </c>
      <c r="G234" s="56">
        <v>-7.4835122353078499E-3</v>
      </c>
      <c r="H234" s="50"/>
      <c r="I234" s="1"/>
      <c r="J234" s="80"/>
      <c r="K234" s="106"/>
      <c r="L234" s="107"/>
      <c r="M234" s="107"/>
      <c r="N234" s="107"/>
      <c r="O234" s="107"/>
      <c r="P234" s="107"/>
    </row>
    <row r="235" spans="1:16">
      <c r="A235" s="13">
        <v>4096</v>
      </c>
      <c r="B235" s="14">
        <v>1.1559854026721901E-3</v>
      </c>
      <c r="C235" s="14">
        <v>5.1079653390553805E-4</v>
      </c>
      <c r="D235" s="14">
        <v>2.59599963077794E-6</v>
      </c>
      <c r="E235" s="61">
        <v>36749</v>
      </c>
      <c r="F235" s="16" t="s">
        <v>18</v>
      </c>
      <c r="G235" s="54">
        <v>-1.2603689653935301E-3</v>
      </c>
      <c r="H235" s="50"/>
      <c r="K235" s="106"/>
      <c r="L235" s="107"/>
      <c r="M235" s="107"/>
      <c r="N235" s="107"/>
      <c r="O235" s="107"/>
      <c r="P235" s="107"/>
    </row>
    <row r="236" spans="1:16">
      <c r="A236" s="8">
        <v>4097</v>
      </c>
      <c r="B236" s="10">
        <v>9.1777796270502002E-4</v>
      </c>
      <c r="C236" s="10">
        <v>5.96114580125655E-4</v>
      </c>
      <c r="D236" s="10">
        <v>9.9296144344170996E-7</v>
      </c>
      <c r="E236" s="59">
        <v>41513</v>
      </c>
      <c r="F236" s="41" t="s">
        <v>45</v>
      </c>
      <c r="G236" s="53">
        <v>0.14638384577447999</v>
      </c>
      <c r="H236" s="50" t="s">
        <v>33</v>
      </c>
      <c r="K236" s="106"/>
      <c r="L236" s="107"/>
      <c r="M236" s="107"/>
      <c r="N236" s="107"/>
      <c r="O236" s="107"/>
      <c r="P236" s="107"/>
    </row>
    <row r="237" spans="1:16" s="3" customFormat="1">
      <c r="A237" s="13">
        <v>4097</v>
      </c>
      <c r="B237" s="14">
        <v>1.0432689728110201E-3</v>
      </c>
      <c r="C237" s="14">
        <v>5.4992297228808099E-4</v>
      </c>
      <c r="D237" s="14">
        <v>1.9117458461489202E-6</v>
      </c>
      <c r="E237" s="59">
        <v>40733</v>
      </c>
      <c r="F237" s="11" t="s">
        <v>40</v>
      </c>
      <c r="G237" s="53">
        <v>3.3363261874495001E-3</v>
      </c>
      <c r="H237" s="50" t="s">
        <v>43</v>
      </c>
      <c r="I237" s="1"/>
      <c r="J237" s="80"/>
      <c r="K237" s="106"/>
      <c r="L237" s="107"/>
      <c r="M237" s="107"/>
      <c r="N237" s="107"/>
      <c r="O237" s="107"/>
      <c r="P237" s="107"/>
    </row>
    <row r="238" spans="1:16" s="3" customFormat="1">
      <c r="A238" s="13">
        <v>4097</v>
      </c>
      <c r="B238" s="14">
        <v>1.08914013590451E-3</v>
      </c>
      <c r="C238" s="14">
        <v>5.3425198392948402E-4</v>
      </c>
      <c r="D238" s="14">
        <v>2.1809700238001498E-6</v>
      </c>
      <c r="E238" s="62">
        <v>38399</v>
      </c>
      <c r="F238" s="75" t="s">
        <v>36</v>
      </c>
      <c r="G238" s="76">
        <v>1.79796851503422E-3</v>
      </c>
      <c r="H238" s="77" t="s">
        <v>37</v>
      </c>
      <c r="I238" s="1"/>
      <c r="J238" s="80"/>
      <c r="K238" s="82"/>
      <c r="L238" s="103"/>
      <c r="M238" s="79"/>
      <c r="N238" s="79"/>
      <c r="O238" s="79"/>
      <c r="P238" s="79"/>
    </row>
    <row r="239" spans="1:16" s="3" customFormat="1">
      <c r="A239" s="21">
        <v>4097</v>
      </c>
      <c r="B239" s="22">
        <v>1.11824189522753E-3</v>
      </c>
      <c r="C239" s="22">
        <v>5.24306771650943E-4</v>
      </c>
      <c r="D239" s="22">
        <v>2.3538878821165402E-6</v>
      </c>
      <c r="E239" s="64">
        <v>37848</v>
      </c>
      <c r="F239" s="49" t="s">
        <v>30</v>
      </c>
      <c r="G239" s="56">
        <v>-1.9401022002041299E-3</v>
      </c>
      <c r="H239" s="50"/>
      <c r="I239" s="1"/>
      <c r="J239" s="80"/>
      <c r="K239" s="82"/>
      <c r="L239" s="103"/>
    </row>
    <row r="240" spans="1:16" s="3" customFormat="1">
      <c r="A240" s="8">
        <v>4097</v>
      </c>
      <c r="B240" s="10">
        <v>1.7850921054824399E-3</v>
      </c>
      <c r="C240" s="10">
        <v>2.93922914839845E-4</v>
      </c>
      <c r="D240" s="10">
        <v>6.4233451305862603E-6</v>
      </c>
      <c r="E240" s="59">
        <v>36816</v>
      </c>
      <c r="F240" s="11" t="s">
        <v>12</v>
      </c>
      <c r="G240" s="53">
        <v>-1.05913524919057E-2</v>
      </c>
      <c r="H240" s="50"/>
      <c r="I240" s="1"/>
      <c r="J240" s="80"/>
      <c r="K240" s="84"/>
      <c r="L240" s="103"/>
    </row>
    <row r="241" spans="1:12" s="3" customFormat="1">
      <c r="A241" s="8">
        <v>4097</v>
      </c>
      <c r="B241" s="10">
        <v>1.20601927909797E-3</v>
      </c>
      <c r="C241" s="10">
        <v>4.94447358047837E-4</v>
      </c>
      <c r="D241" s="10">
        <v>2.86360575702017E-6</v>
      </c>
      <c r="E241" s="59">
        <v>36749</v>
      </c>
      <c r="F241" s="1" t="s">
        <v>18</v>
      </c>
      <c r="G241" s="53">
        <v>6.9734527075748798E-4</v>
      </c>
      <c r="H241" s="50"/>
      <c r="I241" s="1"/>
      <c r="J241" s="80"/>
      <c r="K241" s="83"/>
      <c r="L241" s="103"/>
    </row>
    <row r="242" spans="1:12" s="3" customFormat="1">
      <c r="A242" s="93">
        <v>4098</v>
      </c>
      <c r="B242" s="10">
        <v>9.5524011327881601E-4</v>
      </c>
      <c r="C242" s="10">
        <v>5.7779954924005702E-4</v>
      </c>
      <c r="D242" s="10">
        <v>1.3809529042887301E-6</v>
      </c>
      <c r="E242" s="59">
        <v>41131</v>
      </c>
      <c r="F242" s="11" t="s">
        <v>44</v>
      </c>
      <c r="G242" s="53">
        <v>-0.14953314831699099</v>
      </c>
      <c r="H242" s="50" t="s">
        <v>33</v>
      </c>
      <c r="I242" s="1"/>
      <c r="J242" s="80"/>
      <c r="K242" s="83"/>
      <c r="L242" s="103"/>
    </row>
    <row r="243" spans="1:12" s="3" customFormat="1">
      <c r="A243" s="8">
        <v>4098</v>
      </c>
      <c r="B243" s="10">
        <v>1.0259129066046699E-3</v>
      </c>
      <c r="C243" s="10">
        <v>5.5157065133724903E-4</v>
      </c>
      <c r="D243" s="10">
        <v>1.9094663716805001E-6</v>
      </c>
      <c r="E243" s="59">
        <v>40733</v>
      </c>
      <c r="F243" s="11" t="s">
        <v>40</v>
      </c>
      <c r="G243" s="53">
        <v>5.4185365186967304E-3</v>
      </c>
      <c r="H243" s="50" t="s">
        <v>43</v>
      </c>
      <c r="I243" s="1"/>
      <c r="J243" s="80"/>
      <c r="K243" s="84"/>
      <c r="L243" s="103"/>
    </row>
    <row r="244" spans="1:12" s="3" customFormat="1">
      <c r="A244" s="8">
        <v>4098</v>
      </c>
      <c r="B244" s="10">
        <v>1.12555932647773E-3</v>
      </c>
      <c r="C244" s="10">
        <v>5.1745483323927205E-4</v>
      </c>
      <c r="D244" s="10">
        <v>2.5008007759800199E-6</v>
      </c>
      <c r="E244" s="62">
        <v>38399</v>
      </c>
      <c r="F244" s="75" t="s">
        <v>36</v>
      </c>
      <c r="G244" s="76">
        <v>2.1117058862021301E-3</v>
      </c>
      <c r="H244" s="77" t="s">
        <v>37</v>
      </c>
      <c r="I244" s="1"/>
      <c r="J244" s="80"/>
      <c r="K244" s="84"/>
      <c r="L244" s="103"/>
    </row>
    <row r="245" spans="1:12">
      <c r="A245" s="8">
        <v>4098</v>
      </c>
      <c r="B245" s="10">
        <v>1.2719382655007299E-3</v>
      </c>
      <c r="C245" s="10">
        <v>4.6723636334303399E-4</v>
      </c>
      <c r="D245" s="10">
        <v>3.3777151383287999E-6</v>
      </c>
      <c r="E245" s="64">
        <v>37848</v>
      </c>
      <c r="F245" s="49" t="s">
        <v>30</v>
      </c>
      <c r="G245" s="53">
        <v>-2.9694123808336999E-3</v>
      </c>
      <c r="H245" s="50"/>
      <c r="I245" s="9"/>
      <c r="K245" s="84"/>
      <c r="L245" s="103"/>
    </row>
    <row r="246" spans="1:12" s="3" customFormat="1">
      <c r="A246" s="13">
        <v>4098</v>
      </c>
      <c r="B246" s="14">
        <v>1.45866101796684E-3</v>
      </c>
      <c r="C246" s="14">
        <v>4.0557422096874901E-4</v>
      </c>
      <c r="D246" s="14">
        <v>4.37037041689668E-6</v>
      </c>
      <c r="E246" s="61">
        <v>36749</v>
      </c>
      <c r="F246" s="15" t="s">
        <v>18</v>
      </c>
      <c r="G246" s="54">
        <v>7.5199393667935198E-3</v>
      </c>
      <c r="H246" s="50"/>
      <c r="I246" s="1"/>
      <c r="J246" s="80"/>
      <c r="K246" s="84"/>
      <c r="L246" s="103"/>
    </row>
    <row r="247" spans="1:12" s="3" customFormat="1">
      <c r="A247" s="93">
        <v>4099</v>
      </c>
      <c r="B247" s="10">
        <v>9.3475291031099299E-4</v>
      </c>
      <c r="C247" s="10">
        <v>5.8988719560501795E-4</v>
      </c>
      <c r="D247" s="10">
        <v>1.1232739927428801E-6</v>
      </c>
      <c r="E247" s="59">
        <v>41131</v>
      </c>
      <c r="F247" s="11" t="s">
        <v>44</v>
      </c>
      <c r="G247" s="53">
        <v>-0.158929022943923</v>
      </c>
      <c r="H247" s="50" t="s">
        <v>33</v>
      </c>
      <c r="I247" s="1"/>
      <c r="J247" s="79"/>
      <c r="K247" s="84"/>
      <c r="L247" s="103"/>
    </row>
    <row r="248" spans="1:12" s="3" customFormat="1">
      <c r="A248" s="13">
        <v>4099</v>
      </c>
      <c r="B248" s="14">
        <v>1.0036015701543699E-3</v>
      </c>
      <c r="C248" s="14">
        <v>5.6413587192740897E-4</v>
      </c>
      <c r="D248" s="14">
        <v>1.64965525664533E-6</v>
      </c>
      <c r="E248" s="59">
        <v>40733</v>
      </c>
      <c r="F248" s="11" t="s">
        <v>40</v>
      </c>
      <c r="G248" s="53">
        <v>-9.7592935320491795E-3</v>
      </c>
      <c r="H248" s="50" t="s">
        <v>43</v>
      </c>
      <c r="I248" s="1"/>
      <c r="J248" s="80"/>
      <c r="K248" s="84"/>
      <c r="L248" s="103"/>
    </row>
    <row r="249" spans="1:12" s="3" customFormat="1">
      <c r="A249" s="13">
        <v>4099</v>
      </c>
      <c r="B249" s="14">
        <v>1.0620678851970401E-3</v>
      </c>
      <c r="C249" s="14">
        <v>5.4356133056887199E-4</v>
      </c>
      <c r="D249" s="14">
        <v>2.0249087938900901E-6</v>
      </c>
      <c r="E249" s="62">
        <v>38399</v>
      </c>
      <c r="F249" s="75" t="s">
        <v>36</v>
      </c>
      <c r="G249" s="76">
        <v>-3.4812314246312998E-4</v>
      </c>
      <c r="H249" s="77" t="s">
        <v>37</v>
      </c>
      <c r="I249" s="1"/>
      <c r="J249" s="82"/>
      <c r="K249" s="84"/>
      <c r="L249" s="103"/>
    </row>
    <row r="250" spans="1:12" s="3" customFormat="1">
      <c r="A250" s="13">
        <v>4099</v>
      </c>
      <c r="B250" s="14">
        <v>1.18399348798354E-3</v>
      </c>
      <c r="C250" s="14">
        <v>5.0129209868345699E-4</v>
      </c>
      <c r="D250" s="14">
        <v>2.7775143566652602E-6</v>
      </c>
      <c r="E250" s="64">
        <v>37848</v>
      </c>
      <c r="F250" s="49" t="s">
        <v>30</v>
      </c>
      <c r="G250" s="54">
        <v>-4.2964169835624198E-3</v>
      </c>
      <c r="H250" s="50"/>
      <c r="I250" s="20"/>
      <c r="J250" s="82"/>
      <c r="K250" s="80"/>
      <c r="L250" s="103"/>
    </row>
    <row r="251" spans="1:12" s="3" customFormat="1">
      <c r="A251" s="8">
        <v>4099</v>
      </c>
      <c r="B251" s="10">
        <v>8.4571532756791401E-4</v>
      </c>
      <c r="C251" s="10">
        <v>6.1700315157044204E-4</v>
      </c>
      <c r="D251" s="10">
        <v>7.7025245902771405E-7</v>
      </c>
      <c r="E251" s="59">
        <v>36816</v>
      </c>
      <c r="F251" s="11" t="s">
        <v>12</v>
      </c>
      <c r="G251" s="53">
        <v>-1.0544988040366301E-3</v>
      </c>
      <c r="H251" s="50"/>
      <c r="I251" s="20"/>
      <c r="J251" s="82"/>
      <c r="K251" s="80"/>
      <c r="L251" s="103"/>
    </row>
    <row r="252" spans="1:12" s="3" customFormat="1">
      <c r="A252" s="8">
        <v>4099</v>
      </c>
      <c r="B252" s="10">
        <v>1.1341681809410599E-3</v>
      </c>
      <c r="C252" s="10">
        <v>5.1890398616819303E-4</v>
      </c>
      <c r="D252" s="10">
        <v>2.4510080623039799E-6</v>
      </c>
      <c r="E252" s="59">
        <v>36749</v>
      </c>
      <c r="F252" s="11" t="s">
        <v>18</v>
      </c>
      <c r="G252" s="53">
        <v>-7.7500553975351505E-4</v>
      </c>
      <c r="H252" s="50"/>
      <c r="I252" s="20"/>
      <c r="J252" s="84"/>
      <c r="K252" s="80"/>
      <c r="L252" s="79"/>
    </row>
    <row r="253" spans="1:12" s="3" customFormat="1">
      <c r="A253" s="8">
        <v>4100</v>
      </c>
      <c r="B253" s="10">
        <v>1.1395930446958899E-3</v>
      </c>
      <c r="C253" s="10">
        <v>5.1511321621204305E-4</v>
      </c>
      <c r="D253" s="10">
        <v>2.4983422855562099E-6</v>
      </c>
      <c r="E253" s="59">
        <v>36751</v>
      </c>
      <c r="F253" s="11" t="s">
        <v>16</v>
      </c>
      <c r="G253" s="53">
        <v>7.90622355419629E-4</v>
      </c>
      <c r="H253" s="50"/>
      <c r="I253" s="20"/>
      <c r="J253" s="83"/>
      <c r="K253" s="80"/>
      <c r="L253" s="79"/>
    </row>
    <row r="254" spans="1:12" s="3" customFormat="1">
      <c r="A254" s="8">
        <v>4101</v>
      </c>
      <c r="B254" s="39">
        <v>8.8169950366455603E-4</v>
      </c>
      <c r="C254" s="39">
        <v>6.0822854464616003E-4</v>
      </c>
      <c r="D254" s="39">
        <v>7.7086345694175696E-7</v>
      </c>
      <c r="E254" s="59">
        <v>36695</v>
      </c>
      <c r="F254" s="11" t="s">
        <v>15</v>
      </c>
      <c r="G254" s="53">
        <v>0.15089286849462299</v>
      </c>
      <c r="H254" s="50" t="s">
        <v>26</v>
      </c>
      <c r="I254" s="20"/>
      <c r="J254" s="83"/>
      <c r="K254" s="82"/>
      <c r="L254" s="79"/>
    </row>
    <row r="255" spans="1:12" s="3" customFormat="1">
      <c r="A255" s="8">
        <v>4102</v>
      </c>
      <c r="B255" s="10">
        <v>9.12259985681208E-4</v>
      </c>
      <c r="C255" s="10">
        <v>5.88709694728006E-4</v>
      </c>
      <c r="D255" s="10">
        <v>1.32530829045738E-6</v>
      </c>
      <c r="E255" s="59">
        <v>36816</v>
      </c>
      <c r="F255" s="1" t="s">
        <v>12</v>
      </c>
      <c r="G255" s="53">
        <v>9.3094841885090797E-3</v>
      </c>
      <c r="H255" s="50"/>
      <c r="I255" s="20"/>
      <c r="J255" s="84"/>
      <c r="K255" s="83"/>
      <c r="L255" s="79"/>
    </row>
    <row r="256" spans="1:12">
      <c r="A256" s="13">
        <v>4102</v>
      </c>
      <c r="B256" s="14">
        <v>1.63368665508082E-3</v>
      </c>
      <c r="C256" s="14">
        <v>3.4734228789841398E-4</v>
      </c>
      <c r="D256" s="14">
        <v>5.3249861300976097E-6</v>
      </c>
      <c r="E256" s="61">
        <v>36749</v>
      </c>
      <c r="F256" s="15" t="s">
        <v>18</v>
      </c>
      <c r="G256" s="54">
        <v>9.5378143705806603E-3</v>
      </c>
      <c r="H256" s="50"/>
      <c r="I256" s="20"/>
      <c r="J256" s="84"/>
      <c r="K256" s="82"/>
      <c r="L256" s="79"/>
    </row>
    <row r="257" spans="1:12" s="3" customFormat="1">
      <c r="A257" s="8">
        <v>4104</v>
      </c>
      <c r="B257" s="10">
        <v>1.1215989155854401E-3</v>
      </c>
      <c r="C257" s="10">
        <v>5.2305101055616105E-4</v>
      </c>
      <c r="D257" s="10">
        <v>2.3648622433409599E-6</v>
      </c>
      <c r="E257" s="59">
        <v>36751</v>
      </c>
      <c r="F257" s="11" t="s">
        <v>16</v>
      </c>
      <c r="G257" s="53">
        <v>-1.8338286613359699E-3</v>
      </c>
      <c r="H257" s="50"/>
      <c r="I257" s="20"/>
      <c r="J257" s="84"/>
      <c r="K257" s="84"/>
      <c r="L257" s="79"/>
    </row>
    <row r="258" spans="1:12" s="3" customFormat="1">
      <c r="A258" s="8">
        <v>4105</v>
      </c>
      <c r="B258" s="10">
        <v>7.2375151922497098E-4</v>
      </c>
      <c r="C258" s="10">
        <v>6.5753248722092404E-4</v>
      </c>
      <c r="D258" s="10">
        <v>5.5242115777746499E-8</v>
      </c>
      <c r="E258" s="59">
        <v>36816</v>
      </c>
      <c r="F258" s="11" t="s">
        <v>12</v>
      </c>
      <c r="G258" s="53">
        <v>4.5977583688117099E-3</v>
      </c>
      <c r="H258" s="50"/>
      <c r="I258" s="20"/>
      <c r="J258" s="84"/>
      <c r="K258" s="84"/>
      <c r="L258" s="79"/>
    </row>
    <row r="259" spans="1:12" s="3" customFormat="1">
      <c r="A259" s="8">
        <v>4105</v>
      </c>
      <c r="B259" s="10">
        <v>1.1375966573196001E-3</v>
      </c>
      <c r="C259" s="10">
        <v>5.15913461397633E-4</v>
      </c>
      <c r="D259" s="10">
        <v>2.5111383998132499E-6</v>
      </c>
      <c r="E259" s="59">
        <v>36749</v>
      </c>
      <c r="F259" s="11" t="s">
        <v>18</v>
      </c>
      <c r="G259" s="53">
        <v>-1.02953248977037E-3</v>
      </c>
      <c r="H259" s="50"/>
      <c r="I259" s="20"/>
      <c r="J259" s="84"/>
      <c r="K259" s="84"/>
      <c r="L259" s="85"/>
    </row>
    <row r="260" spans="1:12">
      <c r="A260" s="8">
        <v>4106</v>
      </c>
      <c r="B260" s="10">
        <v>9.3298246522552201E-4</v>
      </c>
      <c r="C260" s="10">
        <v>5.8529941940839599E-4</v>
      </c>
      <c r="D260" s="10">
        <v>1.33589463382804E-6</v>
      </c>
      <c r="E260" s="59">
        <v>36816</v>
      </c>
      <c r="F260" s="11" t="s">
        <v>12</v>
      </c>
      <c r="G260" s="53">
        <v>-2.4009384353345098E-3</v>
      </c>
      <c r="H260" s="50"/>
      <c r="I260" s="20"/>
      <c r="J260" s="84"/>
      <c r="K260" s="84"/>
    </row>
    <row r="261" spans="1:12">
      <c r="A261" s="8">
        <v>4106</v>
      </c>
      <c r="B261" s="10">
        <v>1.71364570702567E-3</v>
      </c>
      <c r="C261" s="10">
        <v>3.2203659996329301E-4</v>
      </c>
      <c r="D261" s="10">
        <v>5.7706795592606402E-6</v>
      </c>
      <c r="E261" s="59">
        <v>36749</v>
      </c>
      <c r="F261" s="11" t="s">
        <v>18</v>
      </c>
      <c r="G261" s="53">
        <v>1.23074689081113E-2</v>
      </c>
      <c r="H261" s="50"/>
      <c r="I261" s="20"/>
      <c r="J261" s="84"/>
      <c r="K261" s="84"/>
    </row>
    <row r="262" spans="1:12">
      <c r="A262" s="8">
        <v>4108</v>
      </c>
      <c r="B262" s="24">
        <v>3.9951860275793001E-4</v>
      </c>
      <c r="C262" s="24">
        <v>6.0677405157795797E-4</v>
      </c>
      <c r="D262" s="24">
        <v>5.6561285665461298E-7</v>
      </c>
      <c r="E262" s="65">
        <v>36698</v>
      </c>
      <c r="F262" s="25" t="s">
        <v>17</v>
      </c>
      <c r="G262" s="53">
        <v>0.16627343744825401</v>
      </c>
      <c r="H262" s="50" t="s">
        <v>7</v>
      </c>
      <c r="I262" s="20"/>
      <c r="K262" s="84"/>
    </row>
    <row r="263" spans="1:12">
      <c r="A263" s="8">
        <v>4109</v>
      </c>
      <c r="B263" s="10">
        <v>8.3402150138417702E-4</v>
      </c>
      <c r="C263" s="10">
        <v>6.1686582852686102E-4</v>
      </c>
      <c r="D263" s="10">
        <v>7.94804154227562E-7</v>
      </c>
      <c r="E263" s="59">
        <v>36816</v>
      </c>
      <c r="F263" s="1" t="s">
        <v>12</v>
      </c>
      <c r="G263" s="53">
        <v>2.33727589249466E-3</v>
      </c>
      <c r="H263" s="50"/>
      <c r="I263" s="20"/>
      <c r="J263" s="84"/>
      <c r="K263" s="84"/>
    </row>
    <row r="264" spans="1:12">
      <c r="A264" s="13">
        <v>4109</v>
      </c>
      <c r="B264" s="14">
        <v>1.8314484915551801E-3</v>
      </c>
      <c r="C264" s="14">
        <v>2.8114241254495302E-4</v>
      </c>
      <c r="D264" s="14">
        <v>6.4281331915515499E-6</v>
      </c>
      <c r="E264" s="61">
        <v>36749</v>
      </c>
      <c r="F264" s="16" t="s">
        <v>18</v>
      </c>
      <c r="G264" s="54">
        <v>1.6054488469896998E-2</v>
      </c>
      <c r="H264" s="50"/>
      <c r="I264" s="20"/>
      <c r="K264" s="84"/>
    </row>
    <row r="265" spans="1:12">
      <c r="A265" s="8">
        <v>4110</v>
      </c>
      <c r="B265" s="10">
        <v>1.1169014856312299E-3</v>
      </c>
      <c r="C265" s="10">
        <v>5.2621513043768205E-4</v>
      </c>
      <c r="D265" s="10">
        <v>2.3370434630550102E-6</v>
      </c>
      <c r="E265" s="59">
        <v>36751</v>
      </c>
      <c r="F265" s="11" t="s">
        <v>16</v>
      </c>
      <c r="G265" s="53">
        <v>-4.6001457751598801E-4</v>
      </c>
      <c r="H265" s="50"/>
      <c r="I265" s="20"/>
    </row>
    <row r="266" spans="1:12">
      <c r="A266" s="8">
        <v>4113</v>
      </c>
      <c r="B266" s="10">
        <v>1.1443824861807699E-3</v>
      </c>
      <c r="C266" s="10">
        <v>5.1337991001044103E-4</v>
      </c>
      <c r="D266" s="10">
        <v>2.5319786960758902E-6</v>
      </c>
      <c r="E266" s="59">
        <v>36751</v>
      </c>
      <c r="F266" s="11" t="s">
        <v>16</v>
      </c>
      <c r="G266" s="53">
        <v>9.1893071219573098E-4</v>
      </c>
      <c r="H266" s="50"/>
      <c r="I266" s="20"/>
      <c r="J266" s="82"/>
    </row>
    <row r="267" spans="1:12">
      <c r="A267" s="8">
        <v>4126</v>
      </c>
      <c r="B267" s="10">
        <v>5.4044310290060204E-4</v>
      </c>
      <c r="C267" s="10">
        <v>5.6356986106156904E-4</v>
      </c>
      <c r="D267" s="10">
        <v>1.1674069829241301E-6</v>
      </c>
      <c r="E267" s="59">
        <v>36694</v>
      </c>
      <c r="F267" s="11" t="s">
        <v>15</v>
      </c>
      <c r="G267" s="53">
        <v>-2.8519088871441101E-2</v>
      </c>
      <c r="H267" s="50" t="s">
        <v>7</v>
      </c>
      <c r="I267" s="20"/>
      <c r="J267" s="83"/>
    </row>
    <row r="268" spans="1:12">
      <c r="A268" s="93">
        <v>4127</v>
      </c>
      <c r="B268" s="10">
        <v>9.6527630592243598E-4</v>
      </c>
      <c r="C268" s="10">
        <v>5.7843237579676299E-4</v>
      </c>
      <c r="D268" s="10">
        <v>1.36422669941686E-6</v>
      </c>
      <c r="E268" s="59">
        <v>41131</v>
      </c>
      <c r="F268" s="11" t="s">
        <v>44</v>
      </c>
      <c r="G268" s="53">
        <v>-0.136081797269057</v>
      </c>
      <c r="H268" s="50" t="s">
        <v>33</v>
      </c>
      <c r="I268" s="20"/>
      <c r="J268" s="82"/>
    </row>
    <row r="269" spans="1:12">
      <c r="A269" s="93">
        <v>4127</v>
      </c>
      <c r="B269" s="10">
        <v>9.0160515430536404E-4</v>
      </c>
      <c r="C269" s="10">
        <v>6.0170269874611996E-4</v>
      </c>
      <c r="D269" s="10">
        <v>9.0698372128869401E-7</v>
      </c>
      <c r="E269" s="59">
        <v>40206</v>
      </c>
      <c r="F269" s="86" t="s">
        <v>0</v>
      </c>
      <c r="G269" s="87">
        <v>0.14666345207494699</v>
      </c>
      <c r="H269" s="50" t="s">
        <v>33</v>
      </c>
      <c r="J269" s="84"/>
    </row>
    <row r="270" spans="1:12">
      <c r="A270" s="8">
        <v>4127</v>
      </c>
      <c r="B270" s="10">
        <v>9.0117819421500604E-4</v>
      </c>
      <c r="C270" s="10">
        <v>6.0189900927203998E-4</v>
      </c>
      <c r="D270" s="10">
        <v>9.0143668454774798E-7</v>
      </c>
      <c r="E270" s="59">
        <v>39667</v>
      </c>
      <c r="F270" s="41" t="s">
        <v>42</v>
      </c>
      <c r="G270" s="53">
        <v>0.145946018695469</v>
      </c>
      <c r="H270" s="50" t="s">
        <v>33</v>
      </c>
      <c r="I270" s="3"/>
      <c r="J270" s="84"/>
    </row>
    <row r="271" spans="1:12">
      <c r="A271" s="8">
        <v>4127</v>
      </c>
      <c r="B271" s="10">
        <v>8.9799826356864695E-4</v>
      </c>
      <c r="C271" s="10">
        <v>6.0290052867844203E-4</v>
      </c>
      <c r="D271" s="10">
        <v>8.8627021025726003E-7</v>
      </c>
      <c r="E271" s="59">
        <v>38793</v>
      </c>
      <c r="F271" s="41" t="s">
        <v>2</v>
      </c>
      <c r="G271" s="53">
        <v>0.14833390402816299</v>
      </c>
      <c r="H271" s="50" t="s">
        <v>33</v>
      </c>
      <c r="I271" s="3"/>
      <c r="J271" s="84"/>
    </row>
    <row r="272" spans="1:12">
      <c r="A272" s="8">
        <v>4127</v>
      </c>
      <c r="B272" s="10">
        <v>9.6913399949918096E-4</v>
      </c>
      <c r="C272" s="10">
        <v>5.7657408320980499E-4</v>
      </c>
      <c r="D272" s="10">
        <v>1.4149660586218199E-6</v>
      </c>
      <c r="E272" s="59">
        <v>38400</v>
      </c>
      <c r="F272" s="41" t="s">
        <v>32</v>
      </c>
      <c r="G272" s="53">
        <v>-3.08517928535323E-2</v>
      </c>
      <c r="H272" s="50" t="s">
        <v>31</v>
      </c>
      <c r="I272" s="3"/>
      <c r="J272" s="84"/>
    </row>
    <row r="273" spans="1:10">
      <c r="A273" s="8">
        <v>4128</v>
      </c>
      <c r="B273" s="10">
        <v>9.4014656874944098E-4</v>
      </c>
      <c r="C273" s="10">
        <v>5.8710451289310805E-4</v>
      </c>
      <c r="D273" s="10">
        <v>1.1076203552289901E-6</v>
      </c>
      <c r="E273" s="59">
        <v>41513</v>
      </c>
      <c r="F273" s="41" t="s">
        <v>45</v>
      </c>
      <c r="G273" s="53">
        <v>0.13758062163172699</v>
      </c>
      <c r="H273" s="50" t="s">
        <v>33</v>
      </c>
      <c r="I273" s="3"/>
      <c r="J273" s="84"/>
    </row>
    <row r="274" spans="1:10">
      <c r="A274" s="93">
        <v>4128</v>
      </c>
      <c r="B274" s="10">
        <v>9.3948165958211303E-4</v>
      </c>
      <c r="C274" s="10">
        <v>5.8736712551311205E-4</v>
      </c>
      <c r="D274" s="10">
        <v>1.1009613021111499E-6</v>
      </c>
      <c r="E274" s="59">
        <v>40206</v>
      </c>
      <c r="F274" s="86" t="s">
        <v>0</v>
      </c>
      <c r="G274" s="87">
        <v>0.13421298051080999</v>
      </c>
      <c r="H274" s="50" t="s">
        <v>33</v>
      </c>
      <c r="I274" s="3"/>
      <c r="J274" s="84"/>
    </row>
    <row r="275" spans="1:10">
      <c r="A275" s="8">
        <v>4128</v>
      </c>
      <c r="B275" s="10">
        <v>9.4088145091455902E-4</v>
      </c>
      <c r="C275" s="10">
        <v>5.8695747426905701E-4</v>
      </c>
      <c r="D275" s="10">
        <v>1.1050204934932799E-6</v>
      </c>
      <c r="E275" s="59">
        <v>39667</v>
      </c>
      <c r="F275" s="41" t="s">
        <v>42</v>
      </c>
      <c r="G275" s="53">
        <v>0.13630105925594199</v>
      </c>
      <c r="H275" s="50" t="s">
        <v>7</v>
      </c>
      <c r="I275" s="3"/>
      <c r="J275" s="84"/>
    </row>
    <row r="276" spans="1:10">
      <c r="A276" s="8">
        <v>4128</v>
      </c>
      <c r="B276" s="10">
        <v>9.4016319327800801E-4</v>
      </c>
      <c r="C276" s="10">
        <v>5.8713109093138001E-4</v>
      </c>
      <c r="D276" s="10">
        <v>1.10398053142119E-6</v>
      </c>
      <c r="E276" s="59">
        <v>39274</v>
      </c>
      <c r="F276" s="41" t="s">
        <v>38</v>
      </c>
      <c r="G276" s="53">
        <v>0.13344</v>
      </c>
      <c r="H276" s="50" t="s">
        <v>33</v>
      </c>
      <c r="I276" s="3"/>
      <c r="J276" s="84"/>
    </row>
    <row r="277" spans="1:10">
      <c r="A277" s="8">
        <v>4128</v>
      </c>
      <c r="B277" s="39">
        <v>9.4228403464282403E-4</v>
      </c>
      <c r="C277" s="39">
        <v>5.8630467867381599E-4</v>
      </c>
      <c r="D277" s="39">
        <v>1.1217815922345101E-6</v>
      </c>
      <c r="E277" s="59">
        <v>38793</v>
      </c>
      <c r="F277" s="41" t="s">
        <v>2</v>
      </c>
      <c r="G277" s="53">
        <v>0.134762715907357</v>
      </c>
      <c r="H277" s="50" t="s">
        <v>39</v>
      </c>
      <c r="I277" s="3"/>
      <c r="J277" s="84"/>
    </row>
    <row r="278" spans="1:10">
      <c r="A278" s="8">
        <v>4128</v>
      </c>
      <c r="B278" s="39">
        <v>1.0023712774750301E-3</v>
      </c>
      <c r="C278" s="39">
        <v>5.6407953900651996E-4</v>
      </c>
      <c r="D278" s="39">
        <v>1.5677160702147901E-6</v>
      </c>
      <c r="E278" s="59">
        <v>38400</v>
      </c>
      <c r="F278" s="41" t="s">
        <v>32</v>
      </c>
      <c r="G278" s="53">
        <v>2.3725172257222499E-2</v>
      </c>
      <c r="H278" s="50" t="s">
        <v>7</v>
      </c>
      <c r="I278" s="3"/>
    </row>
    <row r="279" spans="1:10">
      <c r="A279" s="8">
        <v>4128</v>
      </c>
      <c r="B279" s="39">
        <v>9.3023166521864395E-4</v>
      </c>
      <c r="C279" s="39">
        <v>5.9091087165473596E-4</v>
      </c>
      <c r="D279" s="39">
        <v>1.0239301514149001E-6</v>
      </c>
      <c r="E279" s="59">
        <v>36695</v>
      </c>
      <c r="F279" s="25" t="s">
        <v>15</v>
      </c>
      <c r="G279" s="53">
        <v>0.136434229881786</v>
      </c>
      <c r="H279" s="50" t="s">
        <v>33</v>
      </c>
      <c r="I279" s="3"/>
      <c r="J279" s="84"/>
    </row>
    <row r="280" spans="1:10">
      <c r="A280" s="29">
        <v>4200</v>
      </c>
      <c r="B280" s="39">
        <v>9.3023166521864395E-4</v>
      </c>
      <c r="C280" s="39">
        <v>5.9091087165473596E-4</v>
      </c>
      <c r="D280" s="39">
        <v>1.0239301514149001E-6</v>
      </c>
      <c r="E280" s="66" t="s">
        <v>31</v>
      </c>
      <c r="F280" s="11"/>
      <c r="H280" s="50" t="s">
        <v>26</v>
      </c>
      <c r="I280" s="3"/>
    </row>
    <row r="281" spans="1:10">
      <c r="A281" s="29" t="s">
        <v>41</v>
      </c>
      <c r="B281" s="39">
        <v>9.3023166521864395E-4</v>
      </c>
      <c r="C281" s="39">
        <v>5.9091087165473596E-4</v>
      </c>
      <c r="D281" s="39">
        <v>1.0239301514149001E-6</v>
      </c>
      <c r="E281" s="66" t="s">
        <v>31</v>
      </c>
      <c r="F281" s="11"/>
      <c r="H281" s="50" t="s">
        <v>26</v>
      </c>
    </row>
    <row r="282" spans="1:10">
      <c r="A282" s="235" t="s">
        <v>2957</v>
      </c>
      <c r="B282" s="236">
        <v>1.1569736648232175E-3</v>
      </c>
      <c r="C282" s="236">
        <v>5.3005856434464873E-4</v>
      </c>
      <c r="D282" s="236">
        <v>1.215402675755221E-6</v>
      </c>
      <c r="E282" s="237">
        <v>42094</v>
      </c>
      <c r="F282" s="238" t="s">
        <v>2992</v>
      </c>
      <c r="G282" s="239">
        <v>-3.8569580883862642E-4</v>
      </c>
      <c r="H282" s="240" t="s">
        <v>37</v>
      </c>
      <c r="I282" s="3"/>
    </row>
    <row r="283" spans="1:10">
      <c r="F283" s="11"/>
      <c r="I283" s="3"/>
    </row>
    <row r="284" spans="1:10">
      <c r="F284" s="11"/>
      <c r="I284" s="3"/>
    </row>
    <row r="285" spans="1:10">
      <c r="F285" s="11"/>
    </row>
    <row r="286" spans="1:10">
      <c r="A286" s="13"/>
      <c r="B286" s="14"/>
      <c r="C286" s="14"/>
      <c r="D286" s="14"/>
      <c r="E286" s="61"/>
      <c r="F286" s="15"/>
      <c r="G286" s="54"/>
    </row>
    <row r="287" spans="1:10">
      <c r="F287" s="11"/>
    </row>
    <row r="289" spans="1:9">
      <c r="A289" s="3"/>
      <c r="B289" s="3"/>
      <c r="C289" s="3"/>
      <c r="D289" s="3"/>
      <c r="E289" s="3"/>
      <c r="F289" s="3"/>
      <c r="G289" s="3"/>
      <c r="H289" s="3"/>
    </row>
    <row r="290" spans="1:9">
      <c r="A290" s="3"/>
      <c r="B290" s="3"/>
      <c r="C290" s="3"/>
      <c r="D290" s="3"/>
      <c r="E290" s="3"/>
      <c r="F290" s="3"/>
      <c r="G290" s="3"/>
      <c r="H290" s="3"/>
    </row>
    <row r="291" spans="1:9">
      <c r="A291" s="3"/>
      <c r="B291" s="3"/>
      <c r="C291" s="3"/>
      <c r="D291" s="3"/>
      <c r="E291" s="3"/>
      <c r="F291" s="3"/>
      <c r="G291" s="3"/>
      <c r="H291" s="3"/>
    </row>
    <row r="292" spans="1:9">
      <c r="A292" s="3"/>
      <c r="B292" s="3"/>
      <c r="C292" s="3"/>
      <c r="D292" s="3"/>
      <c r="E292" s="3"/>
      <c r="F292" s="3"/>
      <c r="G292" s="3"/>
      <c r="H292" s="3"/>
      <c r="I292" s="20"/>
    </row>
    <row r="293" spans="1:9">
      <c r="A293" s="3"/>
      <c r="B293" s="3"/>
      <c r="C293" s="3"/>
      <c r="D293" s="3"/>
      <c r="E293" s="3"/>
      <c r="F293" s="3"/>
      <c r="G293" s="3"/>
      <c r="H293" s="3"/>
      <c r="I293" s="20"/>
    </row>
    <row r="294" spans="1:9">
      <c r="A294" s="3"/>
      <c r="B294" s="3"/>
      <c r="C294" s="3"/>
      <c r="D294" s="3"/>
      <c r="E294" s="3"/>
      <c r="F294" s="3"/>
      <c r="G294" s="3"/>
      <c r="H294" s="3"/>
    </row>
    <row r="295" spans="1:9">
      <c r="A295" s="3"/>
      <c r="B295" s="3"/>
      <c r="C295" s="3"/>
      <c r="D295" s="3"/>
      <c r="E295" s="3"/>
      <c r="F295" s="3"/>
      <c r="G295" s="3"/>
      <c r="H295" s="3"/>
    </row>
    <row r="296" spans="1:9">
      <c r="A296" s="3"/>
      <c r="B296" s="3"/>
      <c r="C296" s="3"/>
      <c r="D296" s="3"/>
      <c r="E296" s="3"/>
      <c r="F296" s="3"/>
      <c r="G296" s="3"/>
      <c r="H296" s="3"/>
    </row>
    <row r="297" spans="1:9">
      <c r="A297" s="3"/>
      <c r="B297" s="3"/>
      <c r="C297" s="3"/>
      <c r="D297" s="3"/>
      <c r="E297" s="3"/>
      <c r="F297" s="3"/>
      <c r="G297" s="3"/>
      <c r="H297" s="3"/>
    </row>
    <row r="298" spans="1:9">
      <c r="A298" s="3"/>
      <c r="B298" s="3"/>
      <c r="C298" s="3"/>
      <c r="D298" s="3"/>
      <c r="E298" s="3"/>
      <c r="F298" s="3"/>
      <c r="G298" s="3"/>
      <c r="H298" s="3"/>
    </row>
    <row r="300" spans="1:9">
      <c r="A300" s="3"/>
      <c r="B300" s="3"/>
      <c r="C300" s="3"/>
      <c r="D300" s="3"/>
      <c r="E300" s="3"/>
      <c r="F300" s="3"/>
      <c r="G300" s="3"/>
      <c r="H300" s="3"/>
    </row>
    <row r="301" spans="1:9">
      <c r="A301" s="3"/>
      <c r="B301" s="3"/>
      <c r="C301" s="3"/>
      <c r="D301" s="3"/>
      <c r="E301" s="3"/>
      <c r="F301" s="3"/>
      <c r="G301" s="3"/>
      <c r="H301" s="3"/>
    </row>
    <row r="302" spans="1:9">
      <c r="A302" s="3"/>
      <c r="B302" s="3"/>
      <c r="C302" s="3"/>
      <c r="D302" s="3"/>
      <c r="E302" s="3"/>
      <c r="F302" s="3"/>
      <c r="G302" s="3"/>
      <c r="H302" s="3"/>
      <c r="I302" s="20"/>
    </row>
    <row r="303" spans="1:9">
      <c r="F303" s="11"/>
      <c r="I303" s="20"/>
    </row>
    <row r="304" spans="1:9">
      <c r="A304" s="13"/>
      <c r="B304" s="14"/>
      <c r="C304" s="14"/>
      <c r="D304" s="14"/>
      <c r="E304" s="61"/>
      <c r="F304" s="15"/>
      <c r="G304" s="54"/>
      <c r="I304" s="20"/>
    </row>
    <row r="305" spans="1:9">
      <c r="A305" s="13"/>
      <c r="B305" s="14"/>
      <c r="C305" s="14"/>
      <c r="D305" s="14"/>
      <c r="E305" s="61"/>
      <c r="F305" s="15"/>
      <c r="G305" s="54"/>
      <c r="I305" s="20"/>
    </row>
    <row r="306" spans="1:9">
      <c r="A306" s="13"/>
      <c r="B306" s="14"/>
      <c r="C306" s="14"/>
      <c r="D306" s="14"/>
      <c r="E306" s="61"/>
      <c r="F306" s="15"/>
      <c r="G306" s="54"/>
      <c r="I306" s="20"/>
    </row>
    <row r="307" spans="1:9">
      <c r="F307" s="11"/>
      <c r="I307" s="20"/>
    </row>
    <row r="308" spans="1:9">
      <c r="F308" s="11"/>
      <c r="I308" s="20"/>
    </row>
    <row r="309" spans="1:9">
      <c r="A309" s="13"/>
      <c r="B309" s="14"/>
      <c r="C309" s="14"/>
      <c r="D309" s="14"/>
      <c r="E309" s="61"/>
      <c r="F309" s="15"/>
      <c r="G309" s="54"/>
      <c r="I309" s="20"/>
    </row>
    <row r="310" spans="1:9">
      <c r="F310" s="11"/>
      <c r="I310" s="20"/>
    </row>
    <row r="311" spans="1:9">
      <c r="A311" s="13"/>
      <c r="B311" s="14"/>
      <c r="C311" s="14"/>
      <c r="D311" s="14"/>
      <c r="E311" s="61"/>
      <c r="F311" s="16"/>
      <c r="G311" s="54"/>
    </row>
    <row r="312" spans="1:9">
      <c r="A312" s="13"/>
      <c r="B312" s="14"/>
      <c r="C312" s="14"/>
      <c r="D312" s="14"/>
      <c r="E312" s="61"/>
      <c r="F312" s="12"/>
      <c r="G312" s="54"/>
    </row>
    <row r="313" spans="1:9">
      <c r="F313" s="11"/>
    </row>
    <row r="314" spans="1:9">
      <c r="F314" s="11"/>
    </row>
    <row r="315" spans="1:9">
      <c r="A315" s="13"/>
      <c r="B315" s="14"/>
      <c r="C315" s="14"/>
      <c r="D315" s="14"/>
      <c r="E315" s="61"/>
      <c r="F315" s="12"/>
      <c r="G315" s="54"/>
    </row>
    <row r="316" spans="1:9">
      <c r="F316" s="11"/>
    </row>
    <row r="317" spans="1:9">
      <c r="A317" s="13"/>
      <c r="B317" s="30"/>
      <c r="C317" s="14"/>
      <c r="D317" s="14"/>
      <c r="E317" s="61"/>
      <c r="F317" s="16"/>
      <c r="G317" s="54"/>
    </row>
    <row r="318" spans="1:9">
      <c r="A318" s="13"/>
      <c r="B318" s="14"/>
      <c r="C318" s="14"/>
      <c r="D318" s="14"/>
      <c r="E318" s="61"/>
      <c r="F318" s="12"/>
      <c r="G318" s="54"/>
    </row>
    <row r="319" spans="1:9">
      <c r="F319" s="11"/>
    </row>
    <row r="320" spans="1:9">
      <c r="F320" s="11"/>
    </row>
    <row r="321" spans="1:9">
      <c r="F321" s="25"/>
    </row>
    <row r="322" spans="1:9">
      <c r="A322" s="13"/>
      <c r="B322" s="14"/>
      <c r="C322" s="14"/>
      <c r="D322" s="14"/>
      <c r="E322" s="63"/>
      <c r="F322" s="19"/>
      <c r="G322" s="54"/>
    </row>
    <row r="323" spans="1:9">
      <c r="A323" s="13"/>
      <c r="B323" s="14"/>
      <c r="C323" s="14"/>
      <c r="D323" s="14"/>
      <c r="E323" s="61"/>
      <c r="F323" s="12"/>
      <c r="G323" s="54"/>
    </row>
    <row r="324" spans="1:9">
      <c r="F324" s="11"/>
    </row>
    <row r="325" spans="1:9">
      <c r="F325" s="11"/>
    </row>
    <row r="326" spans="1:9">
      <c r="A326" s="13"/>
      <c r="B326" s="14"/>
      <c r="C326" s="14"/>
      <c r="D326" s="14"/>
      <c r="E326" s="61"/>
      <c r="F326" s="12"/>
      <c r="G326" s="54"/>
    </row>
    <row r="327" spans="1:9">
      <c r="F327" s="11"/>
    </row>
    <row r="329" spans="1:9">
      <c r="F329" s="11"/>
    </row>
    <row r="331" spans="1:9">
      <c r="F331" s="11"/>
    </row>
    <row r="332" spans="1:9">
      <c r="F332" s="11"/>
    </row>
    <row r="333" spans="1:9">
      <c r="F333" s="11"/>
      <c r="I333" s="20"/>
    </row>
    <row r="334" spans="1:9">
      <c r="A334" s="13"/>
      <c r="B334" s="14"/>
      <c r="C334" s="14"/>
      <c r="D334" s="14"/>
      <c r="E334" s="61"/>
      <c r="F334" s="16"/>
      <c r="G334" s="54"/>
      <c r="I334" s="20"/>
    </row>
    <row r="335" spans="1:9">
      <c r="I335" s="20"/>
    </row>
    <row r="336" spans="1:9">
      <c r="A336" s="13"/>
      <c r="B336" s="14"/>
      <c r="C336" s="14"/>
      <c r="D336" s="14"/>
      <c r="E336" s="61"/>
      <c r="F336" s="15"/>
      <c r="G336" s="54"/>
      <c r="I336" s="20"/>
    </row>
    <row r="337" spans="1:9">
      <c r="A337" s="13"/>
      <c r="B337" s="14"/>
      <c r="C337" s="14"/>
      <c r="D337" s="14"/>
      <c r="E337" s="61"/>
      <c r="F337" s="16"/>
      <c r="G337" s="54"/>
      <c r="I337" s="20"/>
    </row>
    <row r="338" spans="1:9">
      <c r="A338" s="13"/>
      <c r="B338" s="14"/>
      <c r="C338" s="14"/>
      <c r="D338" s="14"/>
      <c r="E338" s="61"/>
      <c r="F338" s="16"/>
      <c r="G338" s="54"/>
      <c r="I338" s="20"/>
    </row>
    <row r="339" spans="1:9">
      <c r="F339" s="25"/>
      <c r="I339" s="20"/>
    </row>
    <row r="340" spans="1:9">
      <c r="A340" s="13"/>
      <c r="B340" s="14"/>
      <c r="C340" s="14"/>
      <c r="D340" s="14"/>
      <c r="E340" s="61"/>
      <c r="F340" s="12"/>
      <c r="G340" s="54"/>
      <c r="I340" s="20"/>
    </row>
    <row r="341" spans="1:9">
      <c r="A341" s="13"/>
      <c r="B341" s="14"/>
      <c r="C341" s="14"/>
      <c r="D341" s="14"/>
      <c r="E341" s="61"/>
      <c r="F341" s="16"/>
      <c r="G341" s="54"/>
      <c r="I341" s="20"/>
    </row>
    <row r="342" spans="1:9">
      <c r="I342" s="20"/>
    </row>
    <row r="343" spans="1:9">
      <c r="A343" s="13"/>
      <c r="B343" s="14"/>
      <c r="C343" s="14"/>
      <c r="D343" s="14"/>
      <c r="E343" s="61"/>
      <c r="F343" s="16"/>
      <c r="G343" s="54"/>
      <c r="I343" s="20"/>
    </row>
    <row r="344" spans="1:9">
      <c r="F344" s="25"/>
      <c r="I344" s="20"/>
    </row>
    <row r="345" spans="1:9">
      <c r="I345" s="20"/>
    </row>
    <row r="346" spans="1:9">
      <c r="A346" s="13"/>
      <c r="B346" s="14"/>
      <c r="C346" s="14"/>
      <c r="D346" s="14"/>
      <c r="E346" s="61"/>
      <c r="F346" s="15"/>
      <c r="G346" s="54"/>
      <c r="I346" s="20"/>
    </row>
    <row r="347" spans="1:9">
      <c r="F347" s="11"/>
      <c r="I347" s="20"/>
    </row>
    <row r="348" spans="1:9">
      <c r="A348" s="13"/>
      <c r="B348" s="14"/>
      <c r="C348" s="14"/>
      <c r="D348" s="14"/>
      <c r="E348" s="61"/>
      <c r="F348" s="16"/>
      <c r="G348" s="54"/>
      <c r="I348" s="20"/>
    </row>
    <row r="349" spans="1:9">
      <c r="A349" s="13"/>
      <c r="B349" s="14"/>
      <c r="C349" s="14"/>
      <c r="D349" s="14"/>
      <c r="E349" s="61"/>
      <c r="F349" s="12"/>
      <c r="G349" s="54"/>
      <c r="I349" s="20"/>
    </row>
    <row r="350" spans="1:9">
      <c r="F350" s="11"/>
      <c r="I350" s="32"/>
    </row>
    <row r="351" spans="1:9">
      <c r="F351" s="25"/>
      <c r="I351" s="33"/>
    </row>
    <row r="352" spans="1:9">
      <c r="I352" s="33"/>
    </row>
    <row r="353" spans="1:9">
      <c r="F353" s="11"/>
      <c r="I353" s="33"/>
    </row>
    <row r="354" spans="1:9">
      <c r="A354" s="13"/>
      <c r="B354" s="14"/>
      <c r="C354" s="14"/>
      <c r="D354" s="14"/>
      <c r="E354" s="61"/>
      <c r="F354" s="15"/>
      <c r="G354" s="54"/>
      <c r="I354" s="33"/>
    </row>
    <row r="355" spans="1:9">
      <c r="A355" s="13"/>
      <c r="B355" s="14"/>
      <c r="C355" s="14"/>
      <c r="D355" s="14"/>
      <c r="E355" s="61"/>
      <c r="F355" s="16"/>
      <c r="G355" s="54"/>
      <c r="I355" s="32"/>
    </row>
    <row r="356" spans="1:9">
      <c r="F356" s="11"/>
      <c r="I356" s="32"/>
    </row>
    <row r="357" spans="1:9">
      <c r="F357" s="11"/>
      <c r="I357" s="32"/>
    </row>
    <row r="358" spans="1:9">
      <c r="F358" s="25"/>
      <c r="I358" s="32"/>
    </row>
    <row r="359" spans="1:9">
      <c r="A359" s="13"/>
      <c r="B359" s="14"/>
      <c r="C359" s="14"/>
      <c r="D359" s="14"/>
      <c r="E359" s="61"/>
      <c r="F359" s="12"/>
      <c r="G359" s="54"/>
      <c r="I359" s="32"/>
    </row>
    <row r="360" spans="1:9">
      <c r="A360" s="13"/>
      <c r="B360" s="14"/>
      <c r="C360" s="14"/>
      <c r="D360" s="14"/>
      <c r="E360" s="61"/>
      <c r="F360" s="16"/>
      <c r="G360" s="54"/>
      <c r="I360" s="32"/>
    </row>
    <row r="361" spans="1:9">
      <c r="A361" s="13"/>
      <c r="B361" s="14"/>
      <c r="C361" s="14"/>
      <c r="D361" s="14"/>
      <c r="E361" s="61"/>
      <c r="F361" s="16"/>
      <c r="G361" s="54"/>
      <c r="I361" s="32"/>
    </row>
    <row r="362" spans="1:9">
      <c r="F362" s="25"/>
    </row>
    <row r="364" spans="1:9">
      <c r="F364" s="25"/>
    </row>
    <row r="365" spans="1:9">
      <c r="A365" s="13"/>
      <c r="B365" s="14"/>
      <c r="C365" s="14"/>
      <c r="D365" s="14"/>
      <c r="E365" s="61"/>
      <c r="F365" s="12"/>
      <c r="G365" s="54"/>
    </row>
    <row r="366" spans="1:9">
      <c r="A366" s="13"/>
      <c r="B366" s="14"/>
      <c r="C366" s="14"/>
      <c r="D366" s="14"/>
      <c r="E366" s="61"/>
      <c r="F366" s="16"/>
      <c r="G366" s="54"/>
    </row>
    <row r="367" spans="1:9">
      <c r="A367" s="13"/>
      <c r="B367" s="14"/>
      <c r="C367" s="14"/>
      <c r="D367" s="14"/>
      <c r="E367" s="61"/>
      <c r="F367" s="12"/>
      <c r="G367" s="54"/>
    </row>
    <row r="368" spans="1:9">
      <c r="A368" s="13"/>
      <c r="B368" s="30"/>
      <c r="C368" s="14"/>
      <c r="D368" s="14"/>
      <c r="E368" s="61"/>
      <c r="F368" s="16"/>
      <c r="G368" s="54"/>
      <c r="H368" s="31"/>
    </row>
    <row r="369" spans="1:8">
      <c r="A369" s="13"/>
      <c r="B369" s="14"/>
      <c r="C369" s="14"/>
      <c r="D369" s="14"/>
      <c r="E369" s="61"/>
      <c r="F369" s="12"/>
      <c r="G369" s="54"/>
      <c r="H369" s="32"/>
    </row>
    <row r="370" spans="1:8">
      <c r="H370" s="31"/>
    </row>
    <row r="371" spans="1:8">
      <c r="A371" s="13"/>
      <c r="B371" s="30"/>
      <c r="C371" s="14"/>
      <c r="D371" s="14"/>
      <c r="E371" s="61"/>
      <c r="F371" s="16"/>
      <c r="G371" s="54"/>
    </row>
    <row r="372" spans="1:8">
      <c r="H372" s="31"/>
    </row>
    <row r="373" spans="1:8">
      <c r="A373" s="13"/>
      <c r="B373" s="30"/>
      <c r="C373" s="14"/>
      <c r="D373" s="14"/>
      <c r="E373" s="61"/>
      <c r="F373" s="16"/>
      <c r="G373" s="54"/>
      <c r="H373" s="32"/>
    </row>
    <row r="374" spans="1:8">
      <c r="A374" s="13"/>
      <c r="B374" s="14"/>
      <c r="C374" s="14"/>
      <c r="D374" s="14"/>
      <c r="E374" s="61"/>
      <c r="F374" s="12"/>
      <c r="G374" s="54"/>
      <c r="H374" s="32"/>
    </row>
    <row r="375" spans="1:8">
      <c r="A375" s="34"/>
      <c r="B375" s="35"/>
      <c r="C375" s="35"/>
      <c r="D375" s="35"/>
      <c r="E375" s="67"/>
      <c r="F375" s="31"/>
      <c r="G375" s="57"/>
      <c r="H375" s="32"/>
    </row>
    <row r="376" spans="1:8">
      <c r="H376" s="32"/>
    </row>
    <row r="377" spans="1:8">
      <c r="A377" s="13"/>
      <c r="B377" s="30"/>
      <c r="C377" s="14"/>
      <c r="D377" s="14"/>
      <c r="E377" s="61"/>
      <c r="F377" s="16"/>
      <c r="G377" s="54"/>
      <c r="H377" s="32"/>
    </row>
    <row r="378" spans="1:8">
      <c r="A378" s="13"/>
      <c r="B378" s="14"/>
      <c r="C378" s="14"/>
      <c r="D378" s="14"/>
      <c r="E378" s="61"/>
      <c r="F378" s="12"/>
      <c r="G378" s="54"/>
      <c r="H378" s="32"/>
    </row>
    <row r="379" spans="1:8">
      <c r="A379" s="13"/>
      <c r="B379" s="14"/>
      <c r="C379" s="14"/>
      <c r="D379" s="14"/>
      <c r="E379" s="61"/>
      <c r="F379" s="16"/>
      <c r="G379" s="54"/>
      <c r="H379" s="32"/>
    </row>
    <row r="380" spans="1:8">
      <c r="H380" s="32"/>
    </row>
    <row r="381" spans="1:8">
      <c r="H381" s="32"/>
    </row>
    <row r="382" spans="1:8">
      <c r="A382" s="13"/>
      <c r="B382" s="14"/>
      <c r="C382" s="14"/>
      <c r="D382" s="14"/>
      <c r="E382" s="61"/>
      <c r="F382" s="16"/>
      <c r="G382" s="54"/>
      <c r="H382" s="32"/>
    </row>
    <row r="383" spans="1:8">
      <c r="B383" s="24"/>
      <c r="C383" s="24"/>
      <c r="D383" s="24"/>
      <c r="E383" s="65"/>
      <c r="F383" s="25"/>
    </row>
    <row r="384" spans="1:8">
      <c r="F384" s="25"/>
      <c r="H384" s="23"/>
    </row>
    <row r="385" spans="1:8">
      <c r="A385" s="13"/>
      <c r="B385" s="14"/>
      <c r="C385" s="14"/>
      <c r="D385" s="14"/>
      <c r="E385" s="61"/>
      <c r="F385" s="16"/>
      <c r="G385" s="54"/>
      <c r="H385" s="32"/>
    </row>
    <row r="386" spans="1:8">
      <c r="A386" s="13"/>
      <c r="B386" s="14"/>
      <c r="C386" s="14"/>
      <c r="D386" s="14"/>
      <c r="E386" s="61"/>
      <c r="F386" s="12"/>
      <c r="G386" s="54"/>
      <c r="H386" s="32"/>
    </row>
    <row r="387" spans="1:8">
      <c r="B387" s="24"/>
      <c r="C387" s="24"/>
      <c r="D387" s="24"/>
      <c r="E387" s="65"/>
      <c r="F387" s="25"/>
    </row>
    <row r="388" spans="1:8">
      <c r="F388" s="25"/>
      <c r="H388" s="23"/>
    </row>
    <row r="389" spans="1:8">
      <c r="A389" s="13"/>
      <c r="B389" s="14"/>
      <c r="C389" s="14"/>
      <c r="D389" s="14"/>
      <c r="E389" s="61"/>
      <c r="F389" s="16"/>
      <c r="G389" s="54"/>
      <c r="H389" s="23"/>
    </row>
    <row r="390" spans="1:8">
      <c r="H390" s="23"/>
    </row>
    <row r="391" spans="1:8">
      <c r="A391" s="13"/>
      <c r="B391" s="14"/>
      <c r="C391" s="14"/>
      <c r="D391" s="14"/>
      <c r="E391" s="61"/>
      <c r="F391" s="12"/>
      <c r="G391" s="54"/>
      <c r="H391" s="23"/>
    </row>
    <row r="392" spans="1:8">
      <c r="H392" s="23"/>
    </row>
    <row r="393" spans="1:8">
      <c r="A393" s="13"/>
      <c r="B393" s="14"/>
      <c r="C393" s="14"/>
      <c r="D393" s="14"/>
      <c r="E393" s="61"/>
      <c r="F393" s="12"/>
      <c r="G393" s="54"/>
      <c r="H393" s="23"/>
    </row>
    <row r="394" spans="1:8">
      <c r="H394" s="23"/>
    </row>
    <row r="395" spans="1:8">
      <c r="A395" s="13"/>
      <c r="B395" s="14"/>
      <c r="C395" s="14"/>
      <c r="D395" s="14"/>
      <c r="E395" s="61"/>
      <c r="F395" s="12"/>
      <c r="G395" s="54"/>
      <c r="H395" s="23"/>
    </row>
    <row r="396" spans="1:8">
      <c r="A396" s="13"/>
      <c r="B396" s="14"/>
      <c r="C396" s="14"/>
      <c r="D396" s="14"/>
      <c r="E396" s="61"/>
      <c r="F396" s="12"/>
      <c r="G396" s="54"/>
      <c r="H396" s="23"/>
    </row>
    <row r="397" spans="1:8">
      <c r="A397" s="13"/>
      <c r="B397" s="14"/>
      <c r="C397" s="14"/>
      <c r="D397" s="14"/>
      <c r="E397" s="61"/>
      <c r="F397" s="12"/>
      <c r="G397" s="54"/>
      <c r="H397" s="23"/>
    </row>
    <row r="398" spans="1:8">
      <c r="A398" s="13"/>
      <c r="B398" s="14"/>
      <c r="C398" s="14"/>
      <c r="D398" s="14"/>
      <c r="E398" s="61"/>
      <c r="F398" s="12"/>
      <c r="G398" s="54"/>
      <c r="H398" s="23"/>
    </row>
    <row r="400" spans="1:8">
      <c r="F400" s="25"/>
    </row>
    <row r="402" spans="1:9">
      <c r="F402" s="25"/>
    </row>
    <row r="404" spans="1:9">
      <c r="A404" s="13"/>
      <c r="B404" s="14"/>
      <c r="C404" s="14"/>
      <c r="D404" s="14"/>
      <c r="E404" s="61"/>
      <c r="F404" s="16"/>
      <c r="G404" s="54"/>
    </row>
    <row r="406" spans="1:9">
      <c r="F406" s="25"/>
    </row>
    <row r="407" spans="1:9">
      <c r="A407" s="13"/>
      <c r="B407" s="14"/>
      <c r="C407" s="14"/>
      <c r="D407" s="14"/>
      <c r="E407" s="61"/>
      <c r="F407" s="12"/>
      <c r="G407" s="54"/>
    </row>
    <row r="408" spans="1:9">
      <c r="A408" s="34"/>
      <c r="B408" s="35"/>
      <c r="C408" s="35"/>
      <c r="D408" s="35"/>
      <c r="E408" s="67"/>
      <c r="F408" s="31"/>
      <c r="G408" s="57"/>
    </row>
    <row r="409" spans="1:9">
      <c r="F409" s="25"/>
      <c r="G409" s="56"/>
    </row>
    <row r="411" spans="1:9">
      <c r="F411" s="25"/>
      <c r="G411" s="56"/>
      <c r="I411" s="26"/>
    </row>
    <row r="412" spans="1:9">
      <c r="I412" s="26"/>
    </row>
    <row r="413" spans="1:9">
      <c r="F413" s="25"/>
      <c r="G413" s="56"/>
      <c r="I413" s="26"/>
    </row>
    <row r="414" spans="1:9">
      <c r="A414" s="13"/>
      <c r="B414" s="14"/>
      <c r="C414" s="14"/>
      <c r="D414" s="14"/>
      <c r="E414" s="61"/>
      <c r="F414" s="12"/>
      <c r="G414" s="54"/>
      <c r="I414" s="26"/>
    </row>
    <row r="415" spans="1:9">
      <c r="F415" s="25"/>
    </row>
    <row r="416" spans="1:9">
      <c r="I416" s="26"/>
    </row>
    <row r="417" spans="1:9">
      <c r="A417" s="34"/>
      <c r="B417" s="35"/>
      <c r="C417" s="35"/>
      <c r="D417" s="35"/>
      <c r="E417" s="67"/>
      <c r="F417" s="31"/>
      <c r="G417" s="57"/>
      <c r="I417" s="26"/>
    </row>
    <row r="418" spans="1:9">
      <c r="F418" s="25"/>
      <c r="I418" s="26"/>
    </row>
    <row r="419" spans="1:9">
      <c r="I419" s="9"/>
    </row>
    <row r="420" spans="1:9">
      <c r="F420" s="25"/>
      <c r="I420" s="26"/>
    </row>
    <row r="421" spans="1:9">
      <c r="I421" s="26"/>
    </row>
    <row r="422" spans="1:9">
      <c r="F422" s="25"/>
      <c r="G422" s="56"/>
      <c r="I422" s="26"/>
    </row>
    <row r="423" spans="1:9">
      <c r="A423" s="13"/>
      <c r="B423" s="14"/>
      <c r="C423" s="14"/>
      <c r="D423" s="14"/>
      <c r="E423" s="61"/>
      <c r="F423" s="12"/>
      <c r="G423" s="54"/>
      <c r="I423" s="26"/>
    </row>
    <row r="424" spans="1:9">
      <c r="B424" s="36"/>
      <c r="C424" s="36"/>
      <c r="D424" s="36"/>
      <c r="G424" s="54"/>
      <c r="I424" s="9"/>
    </row>
    <row r="425" spans="1:9">
      <c r="B425" s="28"/>
      <c r="C425" s="28"/>
      <c r="D425" s="28"/>
      <c r="E425" s="65"/>
      <c r="F425" s="25"/>
      <c r="I425" s="9"/>
    </row>
    <row r="426" spans="1:9">
      <c r="F426" s="25"/>
      <c r="I426" s="9"/>
    </row>
    <row r="427" spans="1:9">
      <c r="A427" s="13"/>
      <c r="B427" s="18"/>
      <c r="C427" s="14"/>
      <c r="D427" s="14"/>
      <c r="E427" s="61"/>
      <c r="F427" s="37"/>
      <c r="G427" s="54"/>
      <c r="I427" s="9"/>
    </row>
    <row r="428" spans="1:9">
      <c r="B428" s="24"/>
      <c r="C428" s="24"/>
      <c r="D428" s="24"/>
      <c r="E428" s="65"/>
      <c r="F428" s="25"/>
      <c r="I428" s="9"/>
    </row>
    <row r="429" spans="1:9">
      <c r="F429" s="25"/>
      <c r="H429" s="23"/>
      <c r="I429" s="9"/>
    </row>
    <row r="430" spans="1:9">
      <c r="F430" s="38"/>
      <c r="I430" s="9"/>
    </row>
    <row r="431" spans="1:9">
      <c r="B431" s="24"/>
      <c r="C431" s="24"/>
      <c r="D431" s="24"/>
      <c r="E431" s="65"/>
      <c r="F431" s="25"/>
      <c r="I431" s="9"/>
    </row>
    <row r="432" spans="1:9">
      <c r="F432" s="25"/>
      <c r="H432" s="7"/>
      <c r="I432" s="9"/>
    </row>
    <row r="433" spans="1:9">
      <c r="F433" s="38"/>
      <c r="H433" s="23"/>
      <c r="I433" s="9"/>
    </row>
    <row r="434" spans="1:9">
      <c r="B434" s="24"/>
      <c r="C434" s="24"/>
      <c r="D434" s="24"/>
      <c r="E434" s="65"/>
      <c r="F434" s="25"/>
      <c r="I434" s="9"/>
    </row>
    <row r="435" spans="1:9">
      <c r="F435" s="25"/>
      <c r="I435" s="9"/>
    </row>
    <row r="436" spans="1:9">
      <c r="F436" s="38"/>
      <c r="I436" s="9"/>
    </row>
    <row r="437" spans="1:9">
      <c r="B437" s="28"/>
      <c r="C437" s="28"/>
      <c r="D437" s="28"/>
      <c r="E437" s="65"/>
      <c r="F437" s="25"/>
      <c r="I437" s="26"/>
    </row>
    <row r="438" spans="1:9">
      <c r="F438" s="25"/>
      <c r="I438" s="26"/>
    </row>
    <row r="439" spans="1:9">
      <c r="F439" s="38"/>
      <c r="I439" s="26"/>
    </row>
    <row r="440" spans="1:9">
      <c r="B440" s="24"/>
      <c r="C440" s="24"/>
      <c r="D440" s="24"/>
      <c r="E440" s="65"/>
      <c r="F440" s="25"/>
      <c r="I440" s="9"/>
    </row>
    <row r="441" spans="1:9">
      <c r="F441" s="38"/>
      <c r="I441" s="9"/>
    </row>
    <row r="442" spans="1:9">
      <c r="B442" s="28"/>
      <c r="C442" s="28"/>
      <c r="D442" s="28"/>
      <c r="E442" s="65"/>
      <c r="F442" s="25"/>
      <c r="I442" s="26"/>
    </row>
    <row r="443" spans="1:9">
      <c r="F443" s="38"/>
      <c r="I443" s="9"/>
    </row>
    <row r="444" spans="1:9">
      <c r="B444" s="24"/>
      <c r="C444" s="24"/>
      <c r="D444" s="24"/>
      <c r="E444" s="65"/>
      <c r="F444" s="25"/>
      <c r="I444" s="9"/>
    </row>
    <row r="445" spans="1:9">
      <c r="F445" s="38"/>
      <c r="I445" s="9"/>
    </row>
    <row r="446" spans="1:9">
      <c r="F446" s="38"/>
      <c r="I446" s="9"/>
    </row>
    <row r="447" spans="1:9">
      <c r="B447" s="28"/>
      <c r="C447" s="28"/>
      <c r="D447" s="28"/>
      <c r="E447" s="65"/>
      <c r="F447" s="25"/>
      <c r="I447" s="9"/>
    </row>
    <row r="448" spans="1:9">
      <c r="A448" s="13"/>
      <c r="B448" s="14"/>
      <c r="C448" s="14"/>
      <c r="D448" s="14"/>
      <c r="E448" s="61"/>
      <c r="F448" s="37"/>
      <c r="G448" s="54"/>
      <c r="I448" s="9"/>
    </row>
    <row r="449" spans="1:9">
      <c r="A449" s="13"/>
      <c r="B449" s="14"/>
      <c r="C449" s="14"/>
      <c r="D449" s="14"/>
      <c r="E449" s="61"/>
      <c r="F449" s="16"/>
      <c r="G449" s="54"/>
      <c r="I449" s="9"/>
    </row>
    <row r="450" spans="1:9">
      <c r="F450" s="25"/>
      <c r="I450" s="9"/>
    </row>
    <row r="451" spans="1:9">
      <c r="B451" s="24"/>
      <c r="C451" s="24"/>
      <c r="D451" s="24"/>
      <c r="E451" s="65"/>
      <c r="F451" s="25"/>
      <c r="I451" s="9"/>
    </row>
    <row r="452" spans="1:9">
      <c r="F452" s="38"/>
      <c r="I452" s="9"/>
    </row>
    <row r="453" spans="1:9">
      <c r="F453" s="25"/>
      <c r="I453" s="9"/>
    </row>
    <row r="454" spans="1:9">
      <c r="B454" s="28"/>
      <c r="C454" s="28"/>
      <c r="D454" s="28"/>
      <c r="E454" s="65"/>
      <c r="F454" s="25"/>
      <c r="I454" s="9"/>
    </row>
    <row r="455" spans="1:9">
      <c r="F455" s="38"/>
      <c r="I455" s="9"/>
    </row>
    <row r="456" spans="1:9">
      <c r="B456" s="24"/>
      <c r="C456" s="24"/>
      <c r="D456" s="24"/>
      <c r="E456" s="65"/>
      <c r="F456" s="25"/>
      <c r="I456" s="9"/>
    </row>
    <row r="457" spans="1:9">
      <c r="F457" s="38"/>
      <c r="I457" s="9"/>
    </row>
    <row r="458" spans="1:9">
      <c r="E458" s="67"/>
      <c r="F458" s="31"/>
    </row>
    <row r="459" spans="1:9">
      <c r="B459" s="28"/>
      <c r="C459" s="28"/>
      <c r="D459" s="28"/>
      <c r="E459" s="65"/>
      <c r="F459" s="25"/>
    </row>
    <row r="460" spans="1:9">
      <c r="A460" s="13"/>
      <c r="B460" s="14"/>
      <c r="C460" s="14"/>
      <c r="D460" s="14"/>
      <c r="E460" s="61"/>
      <c r="F460" s="37"/>
      <c r="G460" s="54"/>
    </row>
    <row r="461" spans="1:9">
      <c r="A461" s="13"/>
      <c r="B461" s="14"/>
      <c r="C461" s="14"/>
      <c r="D461" s="14"/>
      <c r="E461" s="61"/>
      <c r="F461" s="16"/>
      <c r="G461" s="54"/>
    </row>
    <row r="462" spans="1:9">
      <c r="F462" s="25"/>
    </row>
    <row r="463" spans="1:9">
      <c r="F463" s="25"/>
    </row>
    <row r="464" spans="1:9">
      <c r="A464" s="13"/>
      <c r="B464" s="14"/>
      <c r="C464" s="14"/>
      <c r="D464" s="14"/>
      <c r="E464" s="61"/>
      <c r="F464" s="16"/>
      <c r="G464" s="54"/>
    </row>
    <row r="466" spans="6:6">
      <c r="F466" s="26"/>
    </row>
    <row r="467" spans="6:6">
      <c r="F467" s="26"/>
    </row>
    <row r="468" spans="6:6">
      <c r="F468" s="26"/>
    </row>
  </sheetData>
  <sortState ref="A2:G468">
    <sortCondition ref="A2"/>
    <sortCondition descending="1" ref="E2"/>
  </sortState>
  <phoneticPr fontId="0" type="noConversion"/>
  <printOptions headings="1" gridLines="1"/>
  <pageMargins left="0.75" right="0.42" top="1" bottom="1" header="0.5" footer="0.5"/>
  <pageSetup orientation="portrait" horizontalDpi="4294967292" verticalDpi="4294967292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2.75"/>
  <sheetData>
    <row r="1" spans="1:1">
      <c r="A1" t="str">
        <f>LEFT(SBE_Probe_Data!A12,2)</f>
        <v>42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Dialogs</vt:lpstr>
      </vt:variant>
      <vt:variant>
        <vt:i4>1</vt:i4>
      </vt:variant>
    </vt:vector>
  </HeadingPairs>
  <TitlesOfParts>
    <vt:vector size="6" baseType="lpstr">
      <vt:lpstr>SBE_Probe_Data</vt:lpstr>
      <vt:lpstr>MTR Data - A001</vt:lpstr>
      <vt:lpstr>Regression Calculation</vt:lpstr>
      <vt:lpstr>Temp. Calib. History</vt:lpstr>
      <vt:lpstr>Sheet1</vt:lpstr>
      <vt:lpstr>SelectCalBox</vt:lpstr>
    </vt:vector>
  </TitlesOfParts>
  <Company>NOAA/PMEL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Sharon L Walker</dc:creator>
  <cp:lastModifiedBy>Daniel P. Langis</cp:lastModifiedBy>
  <cp:lastPrinted>2013-08-29T19:33:55Z</cp:lastPrinted>
  <dcterms:created xsi:type="dcterms:W3CDTF">2000-07-06T19:12:51Z</dcterms:created>
  <dcterms:modified xsi:type="dcterms:W3CDTF">2017-01-30T22:57:54Z</dcterms:modified>
</cp:coreProperties>
</file>